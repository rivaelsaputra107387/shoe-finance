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E6812F5A-CC18-5546-AA22-AB0EFDF2A178}" xr6:coauthVersionLast="45" xr6:coauthVersionMax="45" xr10:uidLastSave="{00000000-0000-0000-0000-000000000000}"/>
  <bookViews>
    <workbookView xWindow="0" yWindow="440" windowWidth="14300" windowHeight="17560" firstSheet="1" activeTab="3" xr2:uid="{00000000-000D-0000-FFFF-FFFF00000000}"/>
  </bookViews>
  <sheets>
    <sheet name="MENU" sheetId="1" r:id="rId1"/>
    <sheet name="COA" sheetId="2" r:id="rId2"/>
    <sheet name="CONTROL" sheetId="3" r:id="rId3"/>
    <sheet name="JURNAL" sheetId="4" r:id="rId4"/>
    <sheet name="BUKU BESAR" sheetId="5" r:id="rId5"/>
    <sheet name="NRL" sheetId="6" r:id="rId6"/>
    <sheet name="LR" sheetId="7" r:id="rId7"/>
    <sheet name="LPE" sheetId="8" r:id="rId8"/>
    <sheet name="NRC" sheetId="9" r:id="rId9"/>
    <sheet name="LAK" sheetId="10" r:id="rId10"/>
    <sheet name="JP" sheetId="11" r:id="rId11"/>
    <sheet name="NRC STLH PENUTUPAN" sheetId="12" r:id="rId12"/>
    <sheet name="Chart1" sheetId="13" r:id="rId13"/>
  </sheets>
  <definedNames>
    <definedName name="_xlnm._FilterDatabase" localSheetId="4" hidden="1">'BUKU BESAR'!$H$9:$H$91</definedName>
    <definedName name="_xlnm._FilterDatabase" localSheetId="5" hidden="1">NRL!$R$8:$R$119</definedName>
    <definedName name="AKTIVALAINNYA">CONTROL!$G$9</definedName>
    <definedName name="AKTIVALANCARLAINNYA">CONTROL!$G$6</definedName>
    <definedName name="AKTIVATETAP">CONTROL!$G$7</definedName>
    <definedName name="AKUNPIUTANG">CONTROL!$G$4</definedName>
    <definedName name="AKUNUTANG">CONTROL!$G$10</definedName>
    <definedName name="BEBAN">CONTROL!$G$21</definedName>
    <definedName name="BEBANLAINNYA">CONTROL!$G$22</definedName>
    <definedName name="COA_DEBET">COA!$E$5:$E$59</definedName>
    <definedName name="COA_KREDIT">COA!$F$5:$F$59</definedName>
    <definedName name="DEPRESIASIDANAMORTISASI">CONTROL!$G$8</definedName>
    <definedName name="EKUITAS">CONTROL!$G$17</definedName>
    <definedName name="JU_BB">JURNAL!$J$7:$J$226</definedName>
    <definedName name="JU_Debet">JURNAL!$G$7:$G$228</definedName>
    <definedName name="JU_Keterangan">JURNAL!$D$7:$D$228</definedName>
    <definedName name="JU_Kodeakun">JURNAL!$E$7:$E$228</definedName>
    <definedName name="JU_Kredit">JURNAL!$H$7:$H$228</definedName>
    <definedName name="JU_Namaakun">JURNAL!$F$7:$F$228</definedName>
    <definedName name="JU_REF">JURNAL!$C$7:$C$242</definedName>
    <definedName name="JU_Tanggal">JURNAL!$B$7:$B$244</definedName>
    <definedName name="KASDANBANK">CONTROL!$G$3</definedName>
    <definedName name="KEWAJIBANJANGKAPANJANG">CONTROL!$G$12</definedName>
    <definedName name="KEWAJIBANLANCARLAINNYA">CONTROL!$G$11</definedName>
    <definedName name="KODEAKUN">COA!$B$5:$B$86</definedName>
    <definedName name="LRSLDO">LR!$K$6:$K$45</definedName>
    <definedName name="LRTYPE">LR!$J$6:$J$94</definedName>
    <definedName name="Nama_Akun">CONTROL!$B$3:$B$84</definedName>
    <definedName name="NRC_TYPE">NRC!$I$8:$I$24</definedName>
    <definedName name="NRCL">NRL!$F:$F</definedName>
    <definedName name="NRCLDB">NRL!$M:$M</definedName>
    <definedName name="NRCLDB2">NRL!$O:$O</definedName>
    <definedName name="NRCLKODE">NRL!$B:$B</definedName>
    <definedName name="NRCLKR">NRL!$N:$N</definedName>
    <definedName name="NRCLKR2">NRL!$P:$P</definedName>
    <definedName name="NRCLSN">NRL!$F:$F</definedName>
    <definedName name="NRCSALDO">NRC!$J$8:$J$24</definedName>
    <definedName name="PEMBELIAN">CONTROL!$G$20</definedName>
    <definedName name="PENDAPATAN">CONTROL!$G$18</definedName>
    <definedName name="PENDAPATANLAINNYA">CONTROL!$G$19</definedName>
    <definedName name="PERSEDIAAN">CONTROL!$G$5</definedName>
    <definedName name="Posisi">CONTROL!$D$3:$D$84</definedName>
    <definedName name="SaldoNormal">CONTROL!$C$3:$C$84</definedName>
    <definedName name="Type">CONTROL!$B$3:$B$84</definedName>
  </definedNames>
  <calcPr calcId="191029"/>
</workbook>
</file>

<file path=xl/calcChain.xml><?xml version="1.0" encoding="utf-8"?>
<calcChain xmlns="http://schemas.openxmlformats.org/spreadsheetml/2006/main">
  <c r="F396" i="4" l="1" a="1"/>
  <c r="F396" i="4" s="1"/>
  <c r="F254" i="4" a="1"/>
  <c r="F254" i="4" s="1"/>
  <c r="F255" i="4" a="1"/>
  <c r="F255" i="4" s="1"/>
  <c r="F256" i="4" a="1"/>
  <c r="F256" i="4" s="1"/>
  <c r="F257" i="4" a="1"/>
  <c r="F257" i="4" s="1"/>
  <c r="F258" i="4" a="1"/>
  <c r="F258" i="4" s="1"/>
  <c r="F259" i="4" a="1"/>
  <c r="F259" i="4" s="1"/>
  <c r="F260" i="4" a="1"/>
  <c r="F260" i="4" s="1"/>
  <c r="F261" i="4" a="1"/>
  <c r="F261" i="4" s="1"/>
  <c r="F262" i="4" a="1"/>
  <c r="F262" i="4" s="1"/>
  <c r="F263" i="4" a="1"/>
  <c r="F263" i="4"/>
  <c r="F264" i="4" a="1"/>
  <c r="F264" i="4" s="1"/>
  <c r="F265" i="4" a="1"/>
  <c r="F265" i="4" s="1"/>
  <c r="F266" i="4" a="1"/>
  <c r="F266" i="4" s="1"/>
  <c r="F267" i="4" a="1"/>
  <c r="F267" i="4" s="1"/>
  <c r="F268" i="4" a="1"/>
  <c r="F268" i="4" s="1"/>
  <c r="F269" i="4" a="1"/>
  <c r="F269" i="4" s="1"/>
  <c r="F270" i="4" a="1"/>
  <c r="F270" i="4" s="1"/>
  <c r="F271" i="4" a="1"/>
  <c r="F271" i="4"/>
  <c r="F272" i="4" a="1"/>
  <c r="F272" i="4" s="1"/>
  <c r="F273" i="4" a="1"/>
  <c r="F273" i="4" s="1"/>
  <c r="F274" i="4" a="1"/>
  <c r="F274" i="4" s="1"/>
  <c r="F275" i="4" a="1"/>
  <c r="F275" i="4" s="1"/>
  <c r="F276" i="4" a="1"/>
  <c r="F276" i="4" s="1"/>
  <c r="F277" i="4" a="1"/>
  <c r="F277" i="4" s="1"/>
  <c r="F278" i="4" a="1"/>
  <c r="F278" i="4" s="1"/>
  <c r="F279" i="4" a="1"/>
  <c r="F279" i="4" s="1"/>
  <c r="F280" i="4" a="1"/>
  <c r="F280" i="4" s="1"/>
  <c r="F281" i="4" a="1"/>
  <c r="F281" i="4" s="1"/>
  <c r="F282" i="4" a="1"/>
  <c r="F282" i="4" s="1"/>
  <c r="F283" i="4" a="1"/>
  <c r="F283" i="4" s="1"/>
  <c r="F284" i="4" a="1"/>
  <c r="F284" i="4" s="1"/>
  <c r="F285" i="4" a="1"/>
  <c r="F285" i="4" s="1"/>
  <c r="F286" i="4" a="1"/>
  <c r="F286" i="4" s="1"/>
  <c r="F287" i="4" a="1"/>
  <c r="F287" i="4" s="1"/>
  <c r="F288" i="4" a="1"/>
  <c r="F288" i="4" s="1"/>
  <c r="F289" i="4" a="1"/>
  <c r="F289" i="4" s="1"/>
  <c r="F290" i="4" a="1"/>
  <c r="F290" i="4" s="1"/>
  <c r="F291" i="4" a="1"/>
  <c r="F291" i="4" s="1"/>
  <c r="F292" i="4" a="1"/>
  <c r="F292" i="4" s="1"/>
  <c r="F293" i="4" a="1"/>
  <c r="F293" i="4" s="1"/>
  <c r="F294" i="4" a="1"/>
  <c r="F294" i="4" s="1"/>
  <c r="F295" i="4" a="1"/>
  <c r="F295" i="4" s="1"/>
  <c r="F296" i="4" a="1"/>
  <c r="F296" i="4" s="1"/>
  <c r="F297" i="4" a="1"/>
  <c r="F297" i="4" s="1"/>
  <c r="F298" i="4" a="1"/>
  <c r="F298" i="4" s="1"/>
  <c r="F299" i="4" a="1"/>
  <c r="F299" i="4" s="1"/>
  <c r="F300" i="4" a="1"/>
  <c r="F300" i="4" s="1"/>
  <c r="F301" i="4" a="1"/>
  <c r="F301" i="4" s="1"/>
  <c r="F302" i="4" a="1"/>
  <c r="F302" i="4" s="1"/>
  <c r="F303" i="4" a="1"/>
  <c r="F303" i="4" s="1"/>
  <c r="F304" i="4" a="1"/>
  <c r="F304" i="4" s="1"/>
  <c r="F305" i="4" a="1"/>
  <c r="F305" i="4" s="1"/>
  <c r="F306" i="4" a="1"/>
  <c r="F306" i="4" s="1"/>
  <c r="F307" i="4" a="1"/>
  <c r="F307" i="4" s="1"/>
  <c r="F308" i="4" a="1"/>
  <c r="F308" i="4" s="1"/>
  <c r="F309" i="4" a="1"/>
  <c r="F309" i="4" s="1"/>
  <c r="F310" i="4" a="1"/>
  <c r="F310" i="4" s="1"/>
  <c r="F311" i="4" a="1"/>
  <c r="F311" i="4" s="1"/>
  <c r="F312" i="4" a="1"/>
  <c r="F312" i="4" s="1"/>
  <c r="F313" i="4" a="1"/>
  <c r="F313" i="4" s="1"/>
  <c r="F314" i="4" a="1"/>
  <c r="F314" i="4" s="1"/>
  <c r="F315" i="4" a="1"/>
  <c r="F315" i="4" s="1"/>
  <c r="F316" i="4" a="1"/>
  <c r="F316" i="4" s="1"/>
  <c r="F317" i="4" a="1"/>
  <c r="F317" i="4" s="1"/>
  <c r="F318" i="4" a="1"/>
  <c r="F318" i="4" s="1"/>
  <c r="F319" i="4" a="1"/>
  <c r="F319" i="4"/>
  <c r="F320" i="4" a="1"/>
  <c r="F320" i="4" s="1"/>
  <c r="F321" i="4" a="1"/>
  <c r="F321" i="4" s="1"/>
  <c r="F322" i="4" a="1"/>
  <c r="F322" i="4" s="1"/>
  <c r="F323" i="4" a="1"/>
  <c r="F323" i="4" s="1"/>
  <c r="F324" i="4" a="1"/>
  <c r="F324" i="4" s="1"/>
  <c r="F325" i="4" a="1"/>
  <c r="F325" i="4" s="1"/>
  <c r="F326" i="4" a="1"/>
  <c r="F326" i="4" s="1"/>
  <c r="F327" i="4" a="1"/>
  <c r="F327" i="4" s="1"/>
  <c r="F328" i="4" a="1"/>
  <c r="F328" i="4" s="1"/>
  <c r="F329" i="4" a="1"/>
  <c r="F329" i="4"/>
  <c r="F330" i="4" a="1"/>
  <c r="F330" i="4" s="1"/>
  <c r="F331" i="4" a="1"/>
  <c r="F331" i="4" s="1"/>
  <c r="F332" i="4" a="1"/>
  <c r="F332" i="4" s="1"/>
  <c r="F333" i="4" a="1"/>
  <c r="F333" i="4" s="1"/>
  <c r="F334" i="4" a="1"/>
  <c r="F334" i="4" s="1"/>
  <c r="F335" i="4" a="1"/>
  <c r="F335" i="4"/>
  <c r="F336" i="4" a="1"/>
  <c r="F336" i="4" s="1"/>
  <c r="F337" i="4" a="1"/>
  <c r="F337" i="4" s="1"/>
  <c r="F338" i="4" a="1"/>
  <c r="F338" i="4" s="1"/>
  <c r="F339" i="4" a="1"/>
  <c r="F339" i="4" s="1"/>
  <c r="F340" i="4" a="1"/>
  <c r="F340" i="4" s="1"/>
  <c r="F341" i="4" a="1"/>
  <c r="F341" i="4" s="1"/>
  <c r="F342" i="4" a="1"/>
  <c r="F342" i="4" s="1"/>
  <c r="F343" i="4" a="1"/>
  <c r="F343" i="4" s="1"/>
  <c r="F344" i="4" a="1"/>
  <c r="F344" i="4" s="1"/>
  <c r="F345" i="4" a="1"/>
  <c r="F345" i="4"/>
  <c r="F346" i="4" a="1"/>
  <c r="F346" i="4" s="1"/>
  <c r="F347" i="4" a="1"/>
  <c r="F347" i="4" s="1"/>
  <c r="F348" i="4" a="1"/>
  <c r="F348" i="4" s="1"/>
  <c r="F349" i="4" a="1"/>
  <c r="F349" i="4" s="1"/>
  <c r="F350" i="4" a="1"/>
  <c r="F350" i="4" s="1"/>
  <c r="F351" i="4" a="1"/>
  <c r="F351" i="4"/>
  <c r="F352" i="4" a="1"/>
  <c r="F352" i="4" s="1"/>
  <c r="F353" i="4" a="1"/>
  <c r="F353" i="4"/>
  <c r="F354" i="4" a="1"/>
  <c r="F354" i="4" s="1"/>
  <c r="F355" i="4" a="1"/>
  <c r="F355" i="4" s="1"/>
  <c r="F356" i="4" a="1"/>
  <c r="F356" i="4" s="1"/>
  <c r="F357" i="4" a="1"/>
  <c r="F357" i="4" s="1"/>
  <c r="F358" i="4" a="1"/>
  <c r="F358" i="4" s="1"/>
  <c r="F359" i="4" a="1"/>
  <c r="F359" i="4"/>
  <c r="F360" i="4" a="1"/>
  <c r="F360" i="4" s="1"/>
  <c r="F361" i="4" a="1"/>
  <c r="F361" i="4" s="1"/>
  <c r="F362" i="4" a="1"/>
  <c r="F362" i="4" s="1"/>
  <c r="F363" i="4" a="1"/>
  <c r="F363" i="4" s="1"/>
  <c r="F364" i="4" a="1"/>
  <c r="F364" i="4" s="1"/>
  <c r="F365" i="4" a="1"/>
  <c r="F365" i="4" s="1"/>
  <c r="F366" i="4" a="1"/>
  <c r="F366" i="4" s="1"/>
  <c r="F367" i="4" a="1"/>
  <c r="F367" i="4"/>
  <c r="F368" i="4" a="1"/>
  <c r="F368" i="4" s="1"/>
  <c r="F369" i="4" a="1"/>
  <c r="F369" i="4" s="1"/>
  <c r="F370" i="4" a="1"/>
  <c r="F370" i="4" s="1"/>
  <c r="F371" i="4" a="1"/>
  <c r="F371" i="4" s="1"/>
  <c r="F372" i="4" a="1"/>
  <c r="F372" i="4" s="1"/>
  <c r="F373" i="4" a="1"/>
  <c r="F373" i="4" s="1"/>
  <c r="F374" i="4" a="1"/>
  <c r="F374" i="4" s="1"/>
  <c r="F375" i="4" a="1"/>
  <c r="F375" i="4" s="1"/>
  <c r="F376" i="4" a="1"/>
  <c r="F376" i="4" s="1"/>
  <c r="F377" i="4" a="1"/>
  <c r="F377" i="4"/>
  <c r="F378" i="4" a="1"/>
  <c r="F378" i="4" s="1"/>
  <c r="F379" i="4" a="1"/>
  <c r="F379" i="4" s="1"/>
  <c r="F380" i="4" a="1"/>
  <c r="F380" i="4" s="1"/>
  <c r="F381" i="4" a="1"/>
  <c r="F381" i="4" s="1"/>
  <c r="F382" i="4" a="1"/>
  <c r="F382" i="4" s="1"/>
  <c r="F383" i="4" a="1"/>
  <c r="F383" i="4"/>
  <c r="F384" i="4" a="1"/>
  <c r="F384" i="4" s="1"/>
  <c r="F385" i="4" a="1"/>
  <c r="F385" i="4" s="1"/>
  <c r="F386" i="4" a="1"/>
  <c r="F386" i="4" s="1"/>
  <c r="F387" i="4" a="1"/>
  <c r="F387" i="4" s="1"/>
  <c r="F388" i="4" a="1"/>
  <c r="F388" i="4" s="1"/>
  <c r="F389" i="4" a="1"/>
  <c r="F389" i="4" s="1"/>
  <c r="F390" i="4" a="1"/>
  <c r="F390" i="4" s="1"/>
  <c r="F391" i="4" a="1"/>
  <c r="F391" i="4" s="1"/>
  <c r="F392" i="4" a="1"/>
  <c r="F392" i="4" s="1"/>
  <c r="F393" i="4" a="1"/>
  <c r="F393" i="4" s="1"/>
  <c r="F394" i="4" a="1"/>
  <c r="F394" i="4" s="1"/>
  <c r="F395" i="4" a="1"/>
  <c r="F395" i="4" s="1"/>
  <c r="F397" i="4" a="1"/>
  <c r="F397" i="4" s="1"/>
  <c r="F398" i="4" a="1"/>
  <c r="F398" i="4" s="1"/>
  <c r="F399" i="4" a="1"/>
  <c r="F399" i="4" s="1"/>
  <c r="F400" i="4" a="1"/>
  <c r="F400" i="4" s="1"/>
  <c r="F401" i="4" a="1"/>
  <c r="F401" i="4" s="1"/>
  <c r="F402" i="4" a="1"/>
  <c r="F402" i="4" s="1"/>
  <c r="F403" i="4" a="1"/>
  <c r="F403" i="4" s="1"/>
  <c r="F404" i="4" a="1"/>
  <c r="F404" i="4" s="1"/>
  <c r="F405" i="4" a="1"/>
  <c r="F405" i="4" s="1"/>
  <c r="F406" i="4" a="1"/>
  <c r="F406" i="4" s="1"/>
  <c r="F407" i="4" a="1"/>
  <c r="F407" i="4" s="1"/>
  <c r="F408" i="4" a="1"/>
  <c r="F408" i="4" s="1"/>
  <c r="F409" i="4" a="1"/>
  <c r="F409" i="4" s="1"/>
  <c r="F410" i="4" a="1"/>
  <c r="F410" i="4" s="1"/>
  <c r="F411" i="4" a="1"/>
  <c r="F411" i="4" s="1"/>
  <c r="F412" i="4" a="1"/>
  <c r="F412" i="4" s="1"/>
  <c r="F413" i="4" a="1"/>
  <c r="F413" i="4" s="1"/>
  <c r="F414" i="4" a="1"/>
  <c r="F414" i="4" s="1"/>
  <c r="F415" i="4" a="1"/>
  <c r="F415" i="4" s="1"/>
  <c r="F416" i="4" a="1"/>
  <c r="F416" i="4" s="1"/>
  <c r="F417" i="4" a="1"/>
  <c r="F417" i="4" s="1"/>
  <c r="F418" i="4" a="1"/>
  <c r="F418" i="4" s="1"/>
  <c r="F419" i="4" a="1"/>
  <c r="F419" i="4" s="1"/>
  <c r="F420" i="4" a="1"/>
  <c r="F420" i="4" s="1"/>
  <c r="F421" i="4" a="1"/>
  <c r="F421" i="4" s="1"/>
  <c r="F422" i="4" a="1"/>
  <c r="F422" i="4" s="1"/>
  <c r="F423" i="4" a="1"/>
  <c r="F423" i="4"/>
  <c r="F424" i="4" a="1"/>
  <c r="F424" i="4" s="1"/>
  <c r="F425" i="4" a="1"/>
  <c r="F425" i="4" s="1"/>
  <c r="F426" i="4" a="1"/>
  <c r="F426" i="4" s="1"/>
  <c r="F427" i="4" a="1"/>
  <c r="F427" i="4" s="1"/>
  <c r="F428" i="4" a="1"/>
  <c r="F428" i="4" s="1"/>
  <c r="F429" i="4" a="1"/>
  <c r="F429" i="4" s="1"/>
  <c r="F430" i="4" a="1"/>
  <c r="F430" i="4" s="1"/>
  <c r="F431" i="4" a="1"/>
  <c r="F431" i="4" s="1"/>
  <c r="F432" i="4" a="1"/>
  <c r="F432" i="4" s="1"/>
  <c r="F433" i="4" a="1"/>
  <c r="F433" i="4" s="1"/>
  <c r="F434" i="4" a="1"/>
  <c r="F434" i="4" s="1"/>
  <c r="F435" i="4" a="1"/>
  <c r="F435" i="4" s="1"/>
  <c r="F436" i="4" a="1"/>
  <c r="F436" i="4" s="1"/>
  <c r="F437" i="4" a="1"/>
  <c r="F437" i="4" s="1"/>
  <c r="F438" i="4" a="1"/>
  <c r="F438" i="4" s="1"/>
  <c r="F439" i="4" a="1"/>
  <c r="F439" i="4" s="1"/>
  <c r="F440" i="4" a="1"/>
  <c r="F440" i="4" s="1"/>
  <c r="F441" i="4" a="1"/>
  <c r="F441" i="4" s="1"/>
  <c r="F442" i="4" a="1"/>
  <c r="F442" i="4" s="1"/>
  <c r="F443" i="4" a="1"/>
  <c r="F443" i="4" s="1"/>
  <c r="F444" i="4" a="1"/>
  <c r="F444" i="4" s="1"/>
  <c r="F445" i="4" a="1"/>
  <c r="F445" i="4" s="1"/>
  <c r="F446" i="4" a="1"/>
  <c r="F446" i="4" s="1"/>
  <c r="F447" i="4" a="1"/>
  <c r="F447" i="4" s="1"/>
  <c r="F448" i="4" a="1"/>
  <c r="F448" i="4" s="1"/>
  <c r="F449" i="4" a="1"/>
  <c r="F449" i="4" s="1"/>
  <c r="F450" i="4" a="1"/>
  <c r="F450" i="4" s="1"/>
  <c r="F451" i="4" a="1"/>
  <c r="F451" i="4" s="1"/>
  <c r="F452" i="4" a="1"/>
  <c r="F452" i="4" s="1"/>
  <c r="F453" i="4" a="1"/>
  <c r="F453" i="4" s="1"/>
  <c r="F454" i="4" a="1"/>
  <c r="F454" i="4" s="1"/>
  <c r="F455" i="4" a="1"/>
  <c r="F455" i="4" s="1"/>
  <c r="F456" i="4" a="1"/>
  <c r="F456" i="4" s="1"/>
  <c r="F457" i="4" a="1"/>
  <c r="F457" i="4" s="1"/>
  <c r="F458" i="4" a="1"/>
  <c r="F458" i="4" s="1"/>
  <c r="F459" i="4" a="1"/>
  <c r="F459" i="4" s="1"/>
  <c r="F460" i="4" a="1"/>
  <c r="F460" i="4" s="1"/>
  <c r="F461" i="4" a="1"/>
  <c r="F461" i="4" s="1"/>
  <c r="F462" i="4" a="1"/>
  <c r="F462" i="4" s="1"/>
  <c r="F463" i="4" a="1"/>
  <c r="F463" i="4" s="1"/>
  <c r="F464" i="4" a="1"/>
  <c r="F464" i="4" s="1"/>
  <c r="F465" i="4" a="1"/>
  <c r="F465" i="4" s="1"/>
  <c r="F466" i="4" a="1"/>
  <c r="F466" i="4" s="1"/>
  <c r="F467" i="4" a="1"/>
  <c r="F467" i="4" s="1"/>
  <c r="F468" i="4" a="1"/>
  <c r="F468" i="4" s="1"/>
  <c r="F469" i="4" a="1"/>
  <c r="F469" i="4" s="1"/>
  <c r="F470" i="4" a="1"/>
  <c r="F470" i="4" s="1"/>
  <c r="F471" i="4" a="1"/>
  <c r="F471" i="4" s="1"/>
  <c r="F472" i="4" a="1"/>
  <c r="F472" i="4" s="1"/>
  <c r="F473" i="4" a="1"/>
  <c r="F473" i="4" s="1"/>
  <c r="F474" i="4" a="1"/>
  <c r="F474" i="4" s="1"/>
  <c r="F475" i="4" a="1"/>
  <c r="F475" i="4" s="1"/>
  <c r="F476" i="4" a="1"/>
  <c r="F476" i="4" s="1"/>
  <c r="F477" i="4" a="1"/>
  <c r="F477" i="4" s="1"/>
  <c r="F478" i="4" a="1"/>
  <c r="F478" i="4" s="1"/>
  <c r="F479" i="4" a="1"/>
  <c r="F479" i="4" s="1"/>
  <c r="F480" i="4" a="1"/>
  <c r="F480" i="4" s="1"/>
  <c r="F481" i="4" a="1"/>
  <c r="F481" i="4" s="1"/>
  <c r="F482" i="4" a="1"/>
  <c r="F482" i="4" s="1"/>
  <c r="F483" i="4" a="1"/>
  <c r="F483" i="4" s="1"/>
  <c r="F484" i="4" a="1"/>
  <c r="F484" i="4" s="1"/>
  <c r="F485" i="4" a="1"/>
  <c r="F485" i="4" s="1"/>
  <c r="F486" i="4" a="1"/>
  <c r="F486" i="4" s="1"/>
  <c r="F487" i="4" a="1"/>
  <c r="F487" i="4" s="1"/>
  <c r="F488" i="4" a="1"/>
  <c r="F488" i="4" s="1"/>
  <c r="F489" i="4" a="1"/>
  <c r="F489" i="4" s="1"/>
  <c r="F490" i="4" a="1"/>
  <c r="F490" i="4" s="1"/>
  <c r="F491" i="4" a="1"/>
  <c r="F491" i="4" s="1"/>
  <c r="F492" i="4" a="1"/>
  <c r="F492" i="4" s="1"/>
  <c r="F493" i="4" a="1"/>
  <c r="F493" i="4" s="1"/>
  <c r="F494" i="4" a="1"/>
  <c r="F494" i="4" s="1"/>
  <c r="F495" i="4" a="1"/>
  <c r="F495" i="4" s="1"/>
  <c r="F496" i="4" a="1"/>
  <c r="F496" i="4" s="1"/>
  <c r="F497" i="4" a="1"/>
  <c r="F497" i="4" s="1"/>
  <c r="F498" i="4" a="1"/>
  <c r="F498" i="4" s="1"/>
  <c r="F499" i="4" a="1"/>
  <c r="F499" i="4" s="1"/>
  <c r="F500" i="4" a="1"/>
  <c r="F500" i="4" s="1"/>
  <c r="F501" i="4" a="1"/>
  <c r="F501" i="4" s="1"/>
  <c r="F502" i="4" a="1"/>
  <c r="F502" i="4" s="1"/>
  <c r="F503" i="4" a="1"/>
  <c r="F503" i="4" s="1"/>
  <c r="F504" i="4" a="1"/>
  <c r="F504" i="4" s="1"/>
  <c r="F505" i="4" a="1"/>
  <c r="F505" i="4" s="1"/>
  <c r="F506" i="4" a="1"/>
  <c r="F506" i="4" s="1"/>
  <c r="F507" i="4" a="1"/>
  <c r="F507" i="4" s="1"/>
  <c r="F508" i="4" a="1"/>
  <c r="F508" i="4" s="1"/>
  <c r="F509" i="4" a="1"/>
  <c r="F509" i="4" s="1"/>
  <c r="F510" i="4" a="1"/>
  <c r="F510" i="4" s="1"/>
  <c r="F511" i="4" a="1"/>
  <c r="F511" i="4" s="1"/>
  <c r="F512" i="4" a="1"/>
  <c r="F512" i="4" s="1"/>
  <c r="F513" i="4" a="1"/>
  <c r="F513" i="4" s="1"/>
  <c r="F514" i="4" a="1"/>
  <c r="F514" i="4" s="1"/>
  <c r="F515" i="4" a="1"/>
  <c r="F515" i="4" s="1"/>
  <c r="F516" i="4" a="1"/>
  <c r="F516" i="4" s="1"/>
  <c r="F517" i="4" a="1"/>
  <c r="F517" i="4" s="1"/>
  <c r="F518" i="4" a="1"/>
  <c r="F518" i="4" s="1"/>
  <c r="F519" i="4" a="1"/>
  <c r="F519" i="4" s="1"/>
  <c r="F520" i="4" a="1"/>
  <c r="F520" i="4" s="1"/>
  <c r="F521" i="4" a="1"/>
  <c r="F521" i="4" s="1"/>
  <c r="F522" i="4" a="1"/>
  <c r="F522" i="4" s="1"/>
  <c r="F523" i="4" a="1"/>
  <c r="F523" i="4" s="1"/>
  <c r="F524" i="4" a="1"/>
  <c r="F524" i="4" s="1"/>
  <c r="F525" i="4" a="1"/>
  <c r="F525" i="4"/>
  <c r="F526" i="4" a="1"/>
  <c r="F526" i="4" s="1"/>
  <c r="F527" i="4" a="1"/>
  <c r="F527" i="4" s="1"/>
  <c r="F528" i="4" a="1"/>
  <c r="F528" i="4" s="1"/>
  <c r="F529" i="4" a="1"/>
  <c r="F529" i="4" s="1"/>
  <c r="F530" i="4" a="1"/>
  <c r="F530" i="4" s="1"/>
  <c r="F531" i="4" a="1"/>
  <c r="F531" i="4" s="1"/>
  <c r="F532" i="4" a="1"/>
  <c r="F532" i="4" s="1"/>
  <c r="F533" i="4" a="1"/>
  <c r="F533" i="4"/>
  <c r="F534" i="4" a="1"/>
  <c r="F534" i="4" s="1"/>
  <c r="F535" i="4" a="1"/>
  <c r="F535" i="4" s="1"/>
  <c r="F536" i="4" a="1"/>
  <c r="F536" i="4" s="1"/>
  <c r="F537" i="4" a="1"/>
  <c r="F537" i="4" s="1"/>
  <c r="F538" i="4" a="1"/>
  <c r="F538" i="4" s="1"/>
  <c r="F539" i="4" a="1"/>
  <c r="F539" i="4" s="1"/>
  <c r="F540" i="4" a="1"/>
  <c r="F540" i="4" s="1"/>
  <c r="F541" i="4" a="1"/>
  <c r="F541" i="4"/>
  <c r="F542" i="4" a="1"/>
  <c r="F542" i="4" s="1"/>
  <c r="F543" i="4" a="1"/>
  <c r="F543" i="4" s="1"/>
  <c r="F544" i="4" a="1"/>
  <c r="F544" i="4" s="1"/>
  <c r="F545" i="4" a="1"/>
  <c r="F545" i="4" s="1"/>
  <c r="F546" i="4" a="1"/>
  <c r="F546" i="4" s="1"/>
  <c r="F547" i="4" a="1"/>
  <c r="F547" i="4" s="1"/>
  <c r="F548" i="4" a="1"/>
  <c r="F548" i="4" s="1"/>
  <c r="F549" i="4" a="1"/>
  <c r="F549" i="4"/>
  <c r="F550" i="4" a="1"/>
  <c r="F550" i="4" s="1"/>
  <c r="F551" i="4" a="1"/>
  <c r="F551" i="4" s="1"/>
  <c r="F552" i="4" a="1"/>
  <c r="F552" i="4" s="1"/>
  <c r="F553" i="4" a="1"/>
  <c r="F553" i="4" s="1"/>
  <c r="F554" i="4" a="1"/>
  <c r="F554" i="4"/>
  <c r="F555" i="4" a="1"/>
  <c r="F555" i="4" s="1"/>
  <c r="F556" i="4" a="1"/>
  <c r="F556" i="4"/>
  <c r="F557" i="4" a="1"/>
  <c r="F557" i="4" s="1"/>
  <c r="F558" i="4" a="1"/>
  <c r="F558" i="4"/>
  <c r="F559" i="4" a="1"/>
  <c r="F559" i="4" s="1"/>
  <c r="F560" i="4" a="1"/>
  <c r="F560" i="4"/>
  <c r="F561" i="4" a="1"/>
  <c r="F561" i="4" s="1"/>
  <c r="F562" i="4" a="1"/>
  <c r="F562" i="4"/>
  <c r="F563" i="4" a="1"/>
  <c r="F563" i="4" s="1"/>
  <c r="F564" i="4" a="1"/>
  <c r="F564" i="4" s="1"/>
  <c r="F565" i="4" a="1"/>
  <c r="F565" i="4" s="1"/>
  <c r="F566" i="4" a="1"/>
  <c r="F566" i="4" s="1"/>
  <c r="F567" i="4" a="1"/>
  <c r="F567" i="4" s="1"/>
  <c r="F568" i="4" a="1"/>
  <c r="F568" i="4" s="1"/>
  <c r="F569" i="4" a="1"/>
  <c r="F569" i="4" s="1"/>
  <c r="F570" i="4" a="1"/>
  <c r="F570" i="4" s="1"/>
  <c r="F571" i="4" a="1"/>
  <c r="F571" i="4" s="1"/>
  <c r="F572" i="4" a="1"/>
  <c r="F572" i="4" s="1"/>
  <c r="F573" i="4" a="1"/>
  <c r="F573" i="4" s="1"/>
  <c r="F574" i="4" a="1"/>
  <c r="F574" i="4" s="1"/>
  <c r="F575" i="4" a="1"/>
  <c r="F575" i="4" s="1"/>
  <c r="F576" i="4" a="1"/>
  <c r="F576" i="4" s="1"/>
  <c r="F577" i="4" a="1"/>
  <c r="F577" i="4" s="1"/>
  <c r="F578" i="4" a="1"/>
  <c r="F578" i="4" s="1"/>
  <c r="F579" i="4" a="1"/>
  <c r="F579" i="4" s="1"/>
  <c r="F580" i="4" a="1"/>
  <c r="F580" i="4" s="1"/>
  <c r="F581" i="4" a="1"/>
  <c r="F581" i="4" s="1"/>
  <c r="F582" i="4" a="1"/>
  <c r="F582" i="4" s="1"/>
  <c r="F583" i="4" a="1"/>
  <c r="F583" i="4" s="1"/>
  <c r="F584" i="4" a="1"/>
  <c r="F584" i="4" s="1"/>
  <c r="F585" i="4" a="1"/>
  <c r="F585" i="4" s="1"/>
  <c r="F586" i="4" a="1"/>
  <c r="F586" i="4" s="1"/>
  <c r="F587" i="4" a="1"/>
  <c r="F587" i="4" s="1"/>
  <c r="F588" i="4" a="1"/>
  <c r="F588" i="4" s="1"/>
  <c r="F589" i="4" a="1"/>
  <c r="F589" i="4" s="1"/>
  <c r="F590" i="4" a="1"/>
  <c r="F590" i="4" s="1"/>
  <c r="F591" i="4" a="1"/>
  <c r="F591" i="4" s="1"/>
  <c r="F592" i="4" a="1"/>
  <c r="F592" i="4" s="1"/>
  <c r="F593" i="4" a="1"/>
  <c r="F593" i="4" s="1"/>
  <c r="F594" i="4" a="1"/>
  <c r="F594" i="4" s="1"/>
  <c r="F595" i="4" a="1"/>
  <c r="F595" i="4" s="1"/>
  <c r="F596" i="4" a="1"/>
  <c r="F596" i="4" s="1"/>
  <c r="F597" i="4" a="1"/>
  <c r="F597" i="4" s="1"/>
  <c r="F598" i="4" a="1"/>
  <c r="F598" i="4" s="1"/>
  <c r="F599" i="4" a="1"/>
  <c r="F599" i="4" s="1"/>
  <c r="F600" i="4" a="1"/>
  <c r="F600" i="4" s="1"/>
  <c r="F601" i="4" a="1"/>
  <c r="F601" i="4" s="1"/>
  <c r="F602" i="4" a="1"/>
  <c r="F602" i="4" s="1"/>
  <c r="F603" i="4" a="1"/>
  <c r="F603" i="4" s="1"/>
  <c r="F604" i="4" a="1"/>
  <c r="F604" i="4" s="1"/>
  <c r="F605" i="4" a="1"/>
  <c r="F605" i="4" s="1"/>
  <c r="F606" i="4" a="1"/>
  <c r="F606" i="4" s="1"/>
  <c r="F607" i="4" a="1"/>
  <c r="F607" i="4" s="1"/>
  <c r="F608" i="4" a="1"/>
  <c r="F608" i="4" s="1"/>
  <c r="F609" i="4" a="1"/>
  <c r="F609" i="4" s="1"/>
  <c r="F610" i="4" a="1"/>
  <c r="F610" i="4" s="1"/>
  <c r="F611" i="4" a="1"/>
  <c r="F611" i="4" s="1"/>
  <c r="F612" i="4" a="1"/>
  <c r="F612" i="4" s="1"/>
  <c r="F613" i="4" a="1"/>
  <c r="F613" i="4" s="1"/>
  <c r="F614" i="4" a="1"/>
  <c r="F614" i="4" s="1"/>
  <c r="F615" i="4" a="1"/>
  <c r="F615" i="4" s="1"/>
  <c r="F616" i="4" a="1"/>
  <c r="F616" i="4" s="1"/>
  <c r="F617" i="4" a="1"/>
  <c r="F617" i="4" s="1"/>
  <c r="F618" i="4" a="1"/>
  <c r="F618" i="4" s="1"/>
  <c r="F619" i="4" a="1"/>
  <c r="F619" i="4" s="1"/>
  <c r="F620" i="4" a="1"/>
  <c r="F620" i="4" s="1"/>
  <c r="F621" i="4" a="1"/>
  <c r="F621" i="4" s="1"/>
  <c r="F622" i="4" a="1"/>
  <c r="F622" i="4" s="1"/>
  <c r="F623" i="4" a="1"/>
  <c r="F623" i="4" s="1"/>
  <c r="F624" i="4" a="1"/>
  <c r="F624" i="4" s="1"/>
  <c r="F625" i="4" a="1"/>
  <c r="F625" i="4" s="1"/>
  <c r="F626" i="4" a="1"/>
  <c r="F626" i="4" s="1"/>
  <c r="F627" i="4" a="1"/>
  <c r="F627" i="4" s="1"/>
  <c r="F628" i="4" a="1"/>
  <c r="F628" i="4" s="1"/>
  <c r="F629" i="4" a="1"/>
  <c r="F629" i="4" s="1"/>
  <c r="F630" i="4" a="1"/>
  <c r="F630" i="4" s="1"/>
  <c r="F631" i="4" a="1"/>
  <c r="F631" i="4" s="1"/>
  <c r="F632" i="4" a="1"/>
  <c r="F632" i="4" s="1"/>
  <c r="F633" i="4" a="1"/>
  <c r="F633" i="4" s="1"/>
  <c r="F634" i="4" a="1"/>
  <c r="F634" i="4" s="1"/>
  <c r="F635" i="4" a="1"/>
  <c r="F635" i="4" s="1"/>
  <c r="F636" i="4" a="1"/>
  <c r="F636" i="4" s="1"/>
  <c r="F637" i="4" a="1"/>
  <c r="F637" i="4" s="1"/>
  <c r="F638" i="4" a="1"/>
  <c r="F638" i="4" s="1"/>
  <c r="F639" i="4" a="1"/>
  <c r="F639" i="4" s="1"/>
  <c r="F640" i="4" a="1"/>
  <c r="F640" i="4" s="1"/>
  <c r="F641" i="4" a="1"/>
  <c r="F641" i="4" s="1"/>
  <c r="F642" i="4" a="1"/>
  <c r="F642" i="4" s="1"/>
  <c r="F643" i="4" a="1"/>
  <c r="F643" i="4" s="1"/>
  <c r="F644" i="4" a="1"/>
  <c r="F644" i="4" s="1"/>
  <c r="F645" i="4" a="1"/>
  <c r="F645" i="4" s="1"/>
  <c r="F646" i="4" a="1"/>
  <c r="F646" i="4" s="1"/>
  <c r="F647" i="4" a="1"/>
  <c r="F647" i="4" s="1"/>
  <c r="F648" i="4" a="1"/>
  <c r="F648" i="4" s="1"/>
  <c r="F649" i="4" a="1"/>
  <c r="F649" i="4" s="1"/>
  <c r="F650" i="4" a="1"/>
  <c r="F650" i="4" s="1"/>
  <c r="F651" i="4" a="1"/>
  <c r="F651" i="4" s="1"/>
  <c r="F652" i="4" a="1"/>
  <c r="F652" i="4" s="1"/>
  <c r="F653" i="4" a="1"/>
  <c r="F653" i="4" s="1"/>
  <c r="F654" i="4" a="1"/>
  <c r="F654" i="4" s="1"/>
  <c r="F655" i="4" a="1"/>
  <c r="F655" i="4" s="1"/>
  <c r="F656" i="4" a="1"/>
  <c r="F656" i="4" s="1"/>
  <c r="F657" i="4" a="1"/>
  <c r="F657" i="4" s="1"/>
  <c r="F658" i="4" a="1"/>
  <c r="F658" i="4" s="1"/>
  <c r="F659" i="4" a="1"/>
  <c r="F659" i="4" s="1"/>
  <c r="F660" i="4" a="1"/>
  <c r="F660" i="4" s="1"/>
  <c r="F661" i="4" a="1"/>
  <c r="F661" i="4" s="1"/>
  <c r="F662" i="4" a="1"/>
  <c r="F662" i="4" s="1"/>
  <c r="F663" i="4" a="1"/>
  <c r="F663" i="4" s="1"/>
  <c r="F664" i="4" a="1"/>
  <c r="F664" i="4" s="1"/>
  <c r="F665" i="4" a="1"/>
  <c r="F665" i="4" s="1"/>
  <c r="F666" i="4" a="1"/>
  <c r="F666" i="4" s="1"/>
  <c r="F667" i="4" a="1"/>
  <c r="F667" i="4" s="1"/>
  <c r="F668" i="4" a="1"/>
  <c r="F668" i="4" s="1"/>
  <c r="F669" i="4" a="1"/>
  <c r="F669" i="4" s="1"/>
  <c r="F670" i="4" a="1"/>
  <c r="F670" i="4" s="1"/>
  <c r="F671" i="4" a="1"/>
  <c r="F671" i="4" s="1"/>
  <c r="F672" i="4" a="1"/>
  <c r="F672" i="4" s="1"/>
  <c r="F673" i="4" a="1"/>
  <c r="F673" i="4" s="1"/>
  <c r="F674" i="4" a="1"/>
  <c r="F674" i="4" s="1"/>
  <c r="F675" i="4" a="1"/>
  <c r="F675" i="4" s="1"/>
  <c r="F676" i="4" a="1"/>
  <c r="F676" i="4" s="1"/>
  <c r="F677" i="4" a="1"/>
  <c r="F677" i="4" s="1"/>
  <c r="F678" i="4" a="1"/>
  <c r="F678" i="4" s="1"/>
  <c r="F679" i="4" a="1"/>
  <c r="F679" i="4" s="1"/>
  <c r="F680" i="4" a="1"/>
  <c r="F680" i="4" s="1"/>
  <c r="F681" i="4" a="1"/>
  <c r="F681" i="4" s="1"/>
  <c r="F682" i="4" a="1"/>
  <c r="F682" i="4" s="1"/>
  <c r="F683" i="4" a="1"/>
  <c r="F683" i="4" s="1"/>
  <c r="F684" i="4" a="1"/>
  <c r="F684" i="4" s="1"/>
  <c r="F685" i="4" a="1"/>
  <c r="F685" i="4" s="1"/>
  <c r="F686" i="4" a="1"/>
  <c r="F686" i="4" s="1"/>
  <c r="F687" i="4" a="1"/>
  <c r="F687" i="4" s="1"/>
  <c r="F688" i="4" a="1"/>
  <c r="F688" i="4" s="1"/>
  <c r="F689" i="4" a="1"/>
  <c r="F689" i="4" s="1"/>
  <c r="F690" i="4" a="1"/>
  <c r="F690" i="4" s="1"/>
  <c r="F691" i="4" a="1"/>
  <c r="F691" i="4" s="1"/>
  <c r="F692" i="4" a="1"/>
  <c r="F692" i="4" s="1"/>
  <c r="F693" i="4" a="1"/>
  <c r="F693" i="4" s="1"/>
  <c r="F694" i="4" a="1"/>
  <c r="F694" i="4" s="1"/>
  <c r="F695" i="4" a="1"/>
  <c r="F695" i="4" s="1"/>
  <c r="F696" i="4" a="1"/>
  <c r="F696" i="4" s="1"/>
  <c r="F697" i="4" a="1"/>
  <c r="F697" i="4" s="1"/>
  <c r="F698" i="4" a="1"/>
  <c r="F698" i="4" s="1"/>
  <c r="F699" i="4" a="1"/>
  <c r="F699" i="4" s="1"/>
  <c r="F700" i="4" a="1"/>
  <c r="F700" i="4" s="1"/>
  <c r="F701" i="4" a="1"/>
  <c r="F701" i="4" s="1"/>
  <c r="F702" i="4" a="1"/>
  <c r="F702" i="4" s="1"/>
  <c r="F703" i="4" a="1"/>
  <c r="F703" i="4" s="1"/>
  <c r="F704" i="4" a="1"/>
  <c r="F704" i="4"/>
  <c r="F705" i="4" a="1"/>
  <c r="F705" i="4" s="1"/>
  <c r="F706" i="4" a="1"/>
  <c r="F706" i="4" s="1"/>
  <c r="F707" i="4" a="1"/>
  <c r="F707" i="4" s="1"/>
  <c r="F708" i="4" a="1"/>
  <c r="F708" i="4"/>
  <c r="F709" i="4" a="1"/>
  <c r="F709" i="4" s="1"/>
  <c r="F710" i="4" a="1"/>
  <c r="F710" i="4" s="1"/>
  <c r="F711" i="4" a="1"/>
  <c r="F711" i="4" s="1"/>
  <c r="F712" i="4" a="1"/>
  <c r="F712" i="4"/>
  <c r="F713" i="4" a="1"/>
  <c r="F713" i="4" s="1"/>
  <c r="F714" i="4" a="1"/>
  <c r="F714" i="4" s="1"/>
  <c r="F715" i="4" a="1"/>
  <c r="F715" i="4" s="1"/>
  <c r="F716" i="4" a="1"/>
  <c r="F716" i="4"/>
  <c r="F717" i="4" a="1"/>
  <c r="F717" i="4" s="1"/>
  <c r="F718" i="4" a="1"/>
  <c r="F718" i="4" s="1"/>
  <c r="F719" i="4" a="1"/>
  <c r="F719" i="4" s="1"/>
  <c r="F720" i="4" a="1"/>
  <c r="F720" i="4" s="1"/>
  <c r="F721" i="4" a="1"/>
  <c r="F721" i="4" s="1"/>
  <c r="F722" i="4" a="1"/>
  <c r="F722" i="4"/>
  <c r="F723" i="4" a="1"/>
  <c r="F723" i="4" s="1"/>
  <c r="F724" i="4" a="1"/>
  <c r="F724" i="4"/>
  <c r="F725" i="4" a="1"/>
  <c r="F725" i="4" s="1"/>
  <c r="F726" i="4" a="1"/>
  <c r="F726" i="4" s="1"/>
  <c r="F727" i="4" a="1"/>
  <c r="F727" i="4" s="1"/>
  <c r="F728" i="4" a="1"/>
  <c r="F728" i="4" s="1"/>
  <c r="F729" i="4" a="1"/>
  <c r="F729" i="4" s="1"/>
  <c r="F730" i="4" a="1"/>
  <c r="F730" i="4"/>
  <c r="F731" i="4" a="1"/>
  <c r="F731" i="4" s="1"/>
  <c r="F732" i="4" a="1"/>
  <c r="F732" i="4"/>
  <c r="F733" i="4" a="1"/>
  <c r="F733" i="4" s="1"/>
  <c r="F734" i="4" a="1"/>
  <c r="F734" i="4" s="1"/>
  <c r="F735" i="4" a="1"/>
  <c r="F735" i="4" s="1"/>
  <c r="F736" i="4" a="1"/>
  <c r="F736" i="4" s="1"/>
  <c r="F737" i="4" a="1"/>
  <c r="F737" i="4" s="1"/>
  <c r="F738" i="4" a="1"/>
  <c r="F738" i="4"/>
  <c r="F739" i="4" a="1"/>
  <c r="F739" i="4" s="1"/>
  <c r="F740" i="4" a="1"/>
  <c r="F740" i="4"/>
  <c r="F741" i="4" a="1"/>
  <c r="F741" i="4" s="1"/>
  <c r="F742" i="4" a="1"/>
  <c r="F742" i="4" s="1"/>
  <c r="F743" i="4" a="1"/>
  <c r="F743" i="4" s="1"/>
  <c r="F744" i="4" a="1"/>
  <c r="F744" i="4" s="1"/>
  <c r="F745" i="4" a="1"/>
  <c r="F745" i="4" s="1"/>
  <c r="F746" i="4" a="1"/>
  <c r="F746" i="4"/>
  <c r="F747" i="4" a="1"/>
  <c r="F747" i="4" s="1"/>
  <c r="F748" i="4" a="1"/>
  <c r="F748" i="4"/>
  <c r="F749" i="4" a="1"/>
  <c r="F749" i="4" s="1"/>
  <c r="F750" i="4" a="1"/>
  <c r="F750" i="4" s="1"/>
  <c r="F751" i="4" a="1"/>
  <c r="F751" i="4" s="1"/>
  <c r="F752" i="4" a="1"/>
  <c r="F752" i="4" s="1"/>
  <c r="F753" i="4" a="1"/>
  <c r="F753" i="4" s="1"/>
  <c r="F754" i="4" a="1"/>
  <c r="F754" i="4"/>
  <c r="F755" i="4" a="1"/>
  <c r="F755" i="4" s="1"/>
  <c r="F756" i="4" a="1"/>
  <c r="F756" i="4"/>
  <c r="F757" i="4" a="1"/>
  <c r="F757" i="4" s="1"/>
  <c r="F758" i="4" a="1"/>
  <c r="F758" i="4" s="1"/>
  <c r="F759" i="4" a="1"/>
  <c r="F759" i="4" s="1"/>
  <c r="F760" i="4" a="1"/>
  <c r="F760" i="4" s="1"/>
  <c r="F761" i="4" a="1"/>
  <c r="F761" i="4" s="1"/>
  <c r="F762" i="4" a="1"/>
  <c r="F762" i="4"/>
  <c r="F763" i="4" a="1"/>
  <c r="F763" i="4" s="1"/>
  <c r="F764" i="4" a="1"/>
  <c r="F764" i="4"/>
  <c r="F765" i="4" a="1"/>
  <c r="F765" i="4" s="1"/>
  <c r="F766" i="4" a="1"/>
  <c r="F766" i="4" s="1"/>
  <c r="F767" i="4" a="1"/>
  <c r="F767" i="4" s="1"/>
  <c r="F768" i="4" a="1"/>
  <c r="F768" i="4" s="1"/>
  <c r="F769" i="4" a="1"/>
  <c r="F769" i="4" s="1"/>
  <c r="F770" i="4" a="1"/>
  <c r="F770" i="4"/>
  <c r="F771" i="4" a="1"/>
  <c r="F771" i="4" s="1"/>
  <c r="F772" i="4" a="1"/>
  <c r="F772" i="4"/>
  <c r="F773" i="4" a="1"/>
  <c r="F773" i="4" s="1"/>
  <c r="F774" i="4" a="1"/>
  <c r="F774" i="4" s="1"/>
  <c r="F775" i="4" a="1"/>
  <c r="F775" i="4" s="1"/>
  <c r="F776" i="4" a="1"/>
  <c r="F776" i="4" s="1"/>
  <c r="F777" i="4" a="1"/>
  <c r="F777" i="4" s="1"/>
  <c r="F778" i="4" a="1"/>
  <c r="F778" i="4"/>
  <c r="F779" i="4" a="1"/>
  <c r="F779" i="4" s="1"/>
  <c r="F780" i="4" a="1"/>
  <c r="F780" i="4"/>
  <c r="F781" i="4" a="1"/>
  <c r="F781" i="4" s="1"/>
  <c r="F782" i="4" a="1"/>
  <c r="F782" i="4" s="1"/>
  <c r="F783" i="4" a="1"/>
  <c r="F783" i="4" s="1"/>
  <c r="F784" i="4" a="1"/>
  <c r="F784" i="4" s="1"/>
  <c r="F785" i="4" a="1"/>
  <c r="F785" i="4" s="1"/>
  <c r="F786" i="4" a="1"/>
  <c r="F786" i="4"/>
  <c r="F787" i="4" a="1"/>
  <c r="F787" i="4" s="1"/>
  <c r="F788" i="4" a="1"/>
  <c r="F788" i="4"/>
  <c r="F789" i="4" a="1"/>
  <c r="F789" i="4" s="1"/>
  <c r="F790" i="4" a="1"/>
  <c r="F790" i="4" s="1"/>
  <c r="F791" i="4" a="1"/>
  <c r="F791" i="4" s="1"/>
  <c r="F792" i="4" a="1"/>
  <c r="F792" i="4" s="1"/>
  <c r="F793" i="4" a="1"/>
  <c r="F793" i="4" s="1"/>
  <c r="F794" i="4" a="1"/>
  <c r="F794" i="4"/>
  <c r="F795" i="4" a="1"/>
  <c r="F795" i="4" s="1"/>
  <c r="F796" i="4" a="1"/>
  <c r="F796" i="4"/>
  <c r="F797" i="4" a="1"/>
  <c r="F797" i="4" s="1"/>
  <c r="F798" i="4" a="1"/>
  <c r="F798" i="4" s="1"/>
  <c r="F799" i="4" a="1"/>
  <c r="F799" i="4" s="1"/>
  <c r="F800" i="4" a="1"/>
  <c r="F800" i="4" s="1"/>
  <c r="F801" i="4" a="1"/>
  <c r="F801" i="4" s="1"/>
  <c r="F802" i="4" a="1"/>
  <c r="F802" i="4"/>
  <c r="F803" i="4" a="1"/>
  <c r="F803" i="4" s="1"/>
  <c r="F804" i="4" a="1"/>
  <c r="F804" i="4"/>
  <c r="F805" i="4" a="1"/>
  <c r="F805" i="4" s="1"/>
  <c r="F806" i="4" a="1"/>
  <c r="F806" i="4" s="1"/>
  <c r="F807" i="4" a="1"/>
  <c r="F807" i="4" s="1"/>
  <c r="F808" i="4" a="1"/>
  <c r="F808" i="4" s="1"/>
  <c r="F809" i="4" a="1"/>
  <c r="F809" i="4" s="1"/>
  <c r="F810" i="4" a="1"/>
  <c r="F810" i="4"/>
  <c r="F811" i="4" a="1"/>
  <c r="F811" i="4" s="1"/>
  <c r="F812" i="4" a="1"/>
  <c r="F812" i="4"/>
  <c r="F813" i="4" a="1"/>
  <c r="F813" i="4" s="1"/>
  <c r="F814" i="4" a="1"/>
  <c r="F814" i="4" s="1"/>
  <c r="F815" i="4" a="1"/>
  <c r="F815" i="4" s="1"/>
  <c r="F816" i="4" a="1"/>
  <c r="F816" i="4" s="1"/>
  <c r="F817" i="4" a="1"/>
  <c r="F817" i="4" s="1"/>
  <c r="F818" i="4" a="1"/>
  <c r="F818" i="4"/>
  <c r="F819" i="4" a="1"/>
  <c r="F819" i="4" s="1"/>
  <c r="F820" i="4" a="1"/>
  <c r="F820" i="4"/>
  <c r="F821" i="4" a="1"/>
  <c r="F821" i="4" s="1"/>
  <c r="F822" i="4" a="1"/>
  <c r="F822" i="4" s="1"/>
  <c r="F823" i="4" a="1"/>
  <c r="F823" i="4" s="1"/>
  <c r="F824" i="4" a="1"/>
  <c r="F824" i="4" s="1"/>
  <c r="F825" i="4" a="1"/>
  <c r="F825" i="4" s="1"/>
  <c r="F826" i="4" a="1"/>
  <c r="F826" i="4"/>
  <c r="F827" i="4" a="1"/>
  <c r="F827" i="4" s="1"/>
  <c r="F828" i="4" a="1"/>
  <c r="F828" i="4"/>
  <c r="F829" i="4" a="1"/>
  <c r="F829" i="4" s="1"/>
  <c r="F830" i="4" a="1"/>
  <c r="F830" i="4" s="1"/>
  <c r="F831" i="4" a="1"/>
  <c r="F831" i="4" s="1"/>
  <c r="F832" i="4" a="1"/>
  <c r="F832" i="4"/>
  <c r="F833" i="4" a="1"/>
  <c r="F833" i="4" s="1"/>
  <c r="F834" i="4" a="1"/>
  <c r="F834" i="4"/>
  <c r="F835" i="4" a="1"/>
  <c r="F835" i="4" s="1"/>
  <c r="F836" i="4" a="1"/>
  <c r="F836" i="4"/>
  <c r="F837" i="4" a="1"/>
  <c r="F837" i="4" s="1"/>
  <c r="F838" i="4" a="1"/>
  <c r="F838" i="4" s="1"/>
  <c r="F839" i="4" a="1"/>
  <c r="F839" i="4" s="1"/>
  <c r="F840" i="4" a="1"/>
  <c r="F840" i="4"/>
  <c r="F841" i="4" a="1"/>
  <c r="F841" i="4" s="1"/>
  <c r="F842" i="4" a="1"/>
  <c r="F842" i="4"/>
  <c r="F843" i="4" a="1"/>
  <c r="F843" i="4" s="1"/>
  <c r="F844" i="4" a="1"/>
  <c r="F844" i="4"/>
  <c r="F845" i="4" a="1"/>
  <c r="F845" i="4" s="1"/>
  <c r="F846" i="4" a="1"/>
  <c r="F846" i="4" s="1"/>
  <c r="F847" i="4" a="1"/>
  <c r="F847" i="4" s="1"/>
  <c r="F848" i="4" a="1"/>
  <c r="F848" i="4" s="1"/>
  <c r="F849" i="4" a="1"/>
  <c r="F849" i="4" s="1"/>
  <c r="F850" i="4" a="1"/>
  <c r="F850" i="4"/>
  <c r="F851" i="4" a="1"/>
  <c r="F851" i="4" s="1"/>
  <c r="F852" i="4" a="1"/>
  <c r="F852" i="4"/>
  <c r="F853" i="4" a="1"/>
  <c r="F853" i="4" s="1"/>
  <c r="F854" i="4" a="1"/>
  <c r="F854" i="4" s="1"/>
  <c r="F855" i="4" a="1"/>
  <c r="F855" i="4" s="1"/>
  <c r="F856" i="4" a="1"/>
  <c r="F856" i="4" s="1"/>
  <c r="F857" i="4" a="1"/>
  <c r="F857" i="4" s="1"/>
  <c r="F858" i="4" a="1"/>
  <c r="F858" i="4"/>
  <c r="F859" i="4" a="1"/>
  <c r="F859" i="4" s="1"/>
  <c r="F860" i="4" a="1"/>
  <c r="F860" i="4"/>
  <c r="F861" i="4" a="1"/>
  <c r="F861" i="4" s="1"/>
  <c r="F862" i="4" a="1"/>
  <c r="F862" i="4" s="1"/>
  <c r="F863" i="4" a="1"/>
  <c r="F863" i="4" s="1"/>
  <c r="F864" i="4" a="1"/>
  <c r="F864" i="4"/>
  <c r="F865" i="4" a="1"/>
  <c r="F865" i="4" s="1"/>
  <c r="F866" i="4" a="1"/>
  <c r="F866" i="4"/>
  <c r="F867" i="4" a="1"/>
  <c r="F867" i="4" s="1"/>
  <c r="F868" i="4" a="1"/>
  <c r="F868" i="4"/>
  <c r="F869" i="4" a="1"/>
  <c r="F869" i="4" s="1"/>
  <c r="F870" i="4" a="1"/>
  <c r="F870" i="4" s="1"/>
  <c r="F871" i="4" a="1"/>
  <c r="F871" i="4" s="1"/>
  <c r="F872" i="4" a="1"/>
  <c r="F872" i="4"/>
  <c r="F873" i="4" a="1"/>
  <c r="F873" i="4" s="1"/>
  <c r="F874" i="4" a="1"/>
  <c r="F874" i="4"/>
  <c r="F875" i="4" a="1"/>
  <c r="F875" i="4" s="1"/>
  <c r="F876" i="4" a="1"/>
  <c r="F876" i="4"/>
  <c r="F877" i="4" a="1"/>
  <c r="F877" i="4"/>
  <c r="F878" i="4" a="1"/>
  <c r="F878" i="4"/>
  <c r="F879" i="4" a="1"/>
  <c r="F879" i="4"/>
  <c r="F880" i="4" a="1"/>
  <c r="F880" i="4"/>
  <c r="F881" i="4" a="1"/>
  <c r="F881" i="4"/>
  <c r="F882" i="4" a="1"/>
  <c r="F882" i="4"/>
  <c r="F883" i="4" a="1"/>
  <c r="F883" i="4"/>
  <c r="F884" i="4" a="1"/>
  <c r="F884" i="4"/>
  <c r="F885" i="4" a="1"/>
  <c r="F885" i="4"/>
  <c r="F886" i="4" a="1"/>
  <c r="F886" i="4"/>
  <c r="F887" i="4" a="1"/>
  <c r="F887" i="4"/>
  <c r="F888" i="4" a="1"/>
  <c r="F888" i="4"/>
  <c r="F889" i="4" a="1"/>
  <c r="F889" i="4"/>
  <c r="F890" i="4" a="1"/>
  <c r="F890" i="4"/>
  <c r="F891" i="4" a="1"/>
  <c r="F891" i="4"/>
  <c r="F892" i="4" a="1"/>
  <c r="F892" i="4" s="1"/>
  <c r="F893" i="4" a="1"/>
  <c r="F893" i="4"/>
  <c r="F894" i="4" a="1"/>
  <c r="F894" i="4" s="1"/>
  <c r="F895" i="4" a="1"/>
  <c r="F895" i="4" s="1"/>
  <c r="F896" i="4" a="1"/>
  <c r="F896" i="4" s="1"/>
  <c r="F897" i="4" a="1"/>
  <c r="F897" i="4"/>
  <c r="F898" i="4" a="1"/>
  <c r="F898" i="4" s="1"/>
  <c r="F899" i="4" a="1"/>
  <c r="F899" i="4"/>
  <c r="F900" i="4" a="1"/>
  <c r="F900" i="4" s="1"/>
  <c r="F901" i="4" a="1"/>
  <c r="F901" i="4"/>
  <c r="F902" i="4" a="1"/>
  <c r="F902" i="4" s="1"/>
  <c r="F903" i="4" a="1"/>
  <c r="F903" i="4" s="1"/>
  <c r="F904" i="4" a="1"/>
  <c r="F904" i="4" s="1"/>
  <c r="F905" i="4" a="1"/>
  <c r="F905" i="4"/>
  <c r="F906" i="4" a="1"/>
  <c r="F906" i="4" s="1"/>
  <c r="F907" i="4" a="1"/>
  <c r="F907" i="4"/>
  <c r="F908" i="4" a="1"/>
  <c r="F908" i="4" s="1"/>
  <c r="F909" i="4" a="1"/>
  <c r="F909" i="4"/>
  <c r="F910" i="4" a="1"/>
  <c r="F910" i="4" s="1"/>
  <c r="F911" i="4" a="1"/>
  <c r="F911" i="4" s="1"/>
  <c r="F912" i="4" a="1"/>
  <c r="F912" i="4" s="1"/>
  <c r="F913" i="4" a="1"/>
  <c r="F913" i="4"/>
  <c r="F914" i="4" a="1"/>
  <c r="F914" i="4" s="1"/>
  <c r="F915" i="4" a="1"/>
  <c r="F915" i="4"/>
  <c r="F916" i="4" a="1"/>
  <c r="F916" i="4" s="1"/>
  <c r="F917" i="4" a="1"/>
  <c r="F917" i="4"/>
  <c r="F918" i="4" a="1"/>
  <c r="F918" i="4" s="1"/>
  <c r="F919" i="4" a="1"/>
  <c r="F919" i="4" s="1"/>
  <c r="F920" i="4" a="1"/>
  <c r="F920" i="4" s="1"/>
  <c r="F921" i="4" a="1"/>
  <c r="F921" i="4"/>
  <c r="F922" i="4" a="1"/>
  <c r="F922" i="4" s="1"/>
  <c r="F923" i="4" a="1"/>
  <c r="F923" i="4"/>
  <c r="F924" i="4" a="1"/>
  <c r="F924" i="4" s="1"/>
  <c r="F925" i="4" a="1"/>
  <c r="F925" i="4"/>
  <c r="F926" i="4" a="1"/>
  <c r="F926" i="4" s="1"/>
  <c r="F927" i="4" a="1"/>
  <c r="F927" i="4" s="1"/>
  <c r="F928" i="4" a="1"/>
  <c r="F928" i="4" s="1"/>
  <c r="F929" i="4" a="1"/>
  <c r="F929" i="4"/>
  <c r="F930" i="4" a="1"/>
  <c r="F930" i="4" s="1"/>
  <c r="F931" i="4" a="1"/>
  <c r="F931" i="4"/>
  <c r="F932" i="4" a="1"/>
  <c r="F932" i="4" s="1"/>
  <c r="F933" i="4" a="1"/>
  <c r="F933" i="4"/>
  <c r="F934" i="4" a="1"/>
  <c r="F934" i="4" s="1"/>
  <c r="F935" i="4" a="1"/>
  <c r="F935" i="4" s="1"/>
  <c r="F936" i="4" a="1"/>
  <c r="F936" i="4" s="1"/>
  <c r="F937" i="4" a="1"/>
  <c r="F937" i="4"/>
  <c r="F938" i="4" a="1"/>
  <c r="F938" i="4" s="1"/>
  <c r="F939" i="4" a="1"/>
  <c r="F939" i="4"/>
  <c r="F940" i="4" a="1"/>
  <c r="F940" i="4" s="1"/>
  <c r="F941" i="4" a="1"/>
  <c r="F941" i="4"/>
  <c r="F942" i="4" a="1"/>
  <c r="F942" i="4" s="1"/>
  <c r="F943" i="4" a="1"/>
  <c r="F943" i="4" s="1"/>
  <c r="F944" i="4" a="1"/>
  <c r="F944" i="4" s="1"/>
  <c r="F945" i="4" a="1"/>
  <c r="F945" i="4"/>
  <c r="F946" i="4" a="1"/>
  <c r="F946" i="4" s="1"/>
  <c r="F947" i="4" a="1"/>
  <c r="F947" i="4"/>
  <c r="F948" i="4" a="1"/>
  <c r="F948" i="4" s="1"/>
  <c r="F949" i="4" a="1"/>
  <c r="F949" i="4"/>
  <c r="F950" i="4" a="1"/>
  <c r="F950" i="4" s="1"/>
  <c r="F951" i="4" a="1"/>
  <c r="F951" i="4" s="1"/>
  <c r="F952" i="4" a="1"/>
  <c r="F952" i="4" s="1"/>
  <c r="F953" i="4" a="1"/>
  <c r="F953" i="4"/>
  <c r="F954" i="4" a="1"/>
  <c r="F954" i="4" s="1"/>
  <c r="F955" i="4" a="1"/>
  <c r="F955" i="4"/>
  <c r="F956" i="4" a="1"/>
  <c r="F956" i="4" s="1"/>
  <c r="F957" i="4" a="1"/>
  <c r="F957" i="4" s="1"/>
  <c r="F958" i="4" a="1"/>
  <c r="F958" i="4" s="1"/>
  <c r="F959" i="4" a="1"/>
  <c r="F959" i="4" s="1"/>
  <c r="F960" i="4" a="1"/>
  <c r="F960" i="4" s="1"/>
  <c r="F961" i="4" a="1"/>
  <c r="F961" i="4"/>
  <c r="F962" i="4" a="1"/>
  <c r="F962" i="4" s="1"/>
  <c r="F963" i="4" a="1"/>
  <c r="F963" i="4"/>
  <c r="F964" i="4" a="1"/>
  <c r="F964" i="4" s="1"/>
  <c r="F965" i="4" a="1"/>
  <c r="F965" i="4" s="1"/>
  <c r="F966" i="4" a="1"/>
  <c r="F966" i="4" s="1"/>
  <c r="F967" i="4" a="1"/>
  <c r="F967" i="4" s="1"/>
  <c r="F968" i="4" a="1"/>
  <c r="F968" i="4" s="1"/>
  <c r="F969" i="4" a="1"/>
  <c r="F969" i="4"/>
  <c r="F970" i="4" a="1"/>
  <c r="F970" i="4" s="1"/>
  <c r="F971" i="4" a="1"/>
  <c r="F971" i="4"/>
  <c r="F972" i="4" a="1"/>
  <c r="F972" i="4" s="1"/>
  <c r="F973" i="4" a="1"/>
  <c r="F973" i="4"/>
  <c r="F974" i="4" a="1"/>
  <c r="F974" i="4" s="1"/>
  <c r="F975" i="4" a="1"/>
  <c r="F975" i="4" s="1"/>
  <c r="F976" i="4" a="1"/>
  <c r="F976" i="4" s="1"/>
  <c r="F977" i="4" a="1"/>
  <c r="F977" i="4"/>
  <c r="F978" i="4" a="1"/>
  <c r="F978" i="4" s="1"/>
  <c r="F979" i="4" a="1"/>
  <c r="F979" i="4"/>
  <c r="F980" i="4" a="1"/>
  <c r="F980" i="4" s="1"/>
  <c r="F981" i="4" a="1"/>
  <c r="F981" i="4"/>
  <c r="F982" i="4" a="1"/>
  <c r="F982" i="4" s="1"/>
  <c r="F983" i="4" a="1"/>
  <c r="F983" i="4" s="1"/>
  <c r="F984" i="4" a="1"/>
  <c r="F984" i="4" s="1"/>
  <c r="F985" i="4" a="1"/>
  <c r="F985" i="4"/>
  <c r="F986" i="4" a="1"/>
  <c r="F986" i="4" s="1"/>
  <c r="F987" i="4" a="1"/>
  <c r="F987" i="4"/>
  <c r="F988" i="4" a="1"/>
  <c r="F988" i="4" s="1"/>
  <c r="F989" i="4" a="1"/>
  <c r="F989" i="4"/>
  <c r="F990" i="4" a="1"/>
  <c r="F990" i="4" s="1"/>
  <c r="F991" i="4" a="1"/>
  <c r="F991" i="4" s="1"/>
  <c r="F992" i="4" a="1"/>
  <c r="F992" i="4" s="1"/>
  <c r="F993" i="4" a="1"/>
  <c r="F993" i="4"/>
  <c r="F994" i="4" a="1"/>
  <c r="F994" i="4" s="1"/>
  <c r="F995" i="4" a="1"/>
  <c r="F995" i="4"/>
  <c r="F996" i="4" a="1"/>
  <c r="F996" i="4" s="1"/>
  <c r="F997" i="4" a="1"/>
  <c r="F997" i="4"/>
  <c r="F998" i="4" a="1"/>
  <c r="F998" i="4" s="1"/>
  <c r="F999" i="4" a="1"/>
  <c r="F999" i="4" s="1"/>
  <c r="F1000" i="4" a="1"/>
  <c r="F1000" i="4" s="1"/>
  <c r="F1001" i="4" a="1"/>
  <c r="F1001" i="4"/>
  <c r="F1002" i="4" a="1"/>
  <c r="F1002" i="4" s="1"/>
  <c r="F1003" i="4" a="1"/>
  <c r="F1003" i="4"/>
  <c r="F1004" i="4" a="1"/>
  <c r="F1004" i="4" s="1"/>
  <c r="F1005" i="4" a="1"/>
  <c r="F1005" i="4"/>
  <c r="F1006" i="4" a="1"/>
  <c r="F1006" i="4" s="1"/>
  <c r="F1007" i="4" a="1"/>
  <c r="F1007" i="4" s="1"/>
  <c r="F1008" i="4" a="1"/>
  <c r="F1008" i="4" s="1"/>
  <c r="F1009" i="4" a="1"/>
  <c r="F1009" i="4"/>
  <c r="F1010" i="4" a="1"/>
  <c r="F1010" i="4" s="1"/>
  <c r="F1011" i="4" a="1"/>
  <c r="F1011" i="4"/>
  <c r="F1012" i="4" a="1"/>
  <c r="F1012" i="4" s="1"/>
  <c r="F1013" i="4" a="1"/>
  <c r="F1013" i="4"/>
  <c r="F1014" i="4" a="1"/>
  <c r="F1014" i="4" s="1"/>
  <c r="F1015" i="4" a="1"/>
  <c r="F1015" i="4" s="1"/>
  <c r="F1016" i="4" a="1"/>
  <c r="F1016" i="4" s="1"/>
  <c r="F1017" i="4" a="1"/>
  <c r="F1017" i="4"/>
  <c r="F1018" i="4" a="1"/>
  <c r="F1018" i="4" s="1"/>
  <c r="F1019" i="4" a="1"/>
  <c r="F1019" i="4"/>
  <c r="F1020" i="4" a="1"/>
  <c r="F1020" i="4" s="1"/>
  <c r="F1021" i="4" a="1"/>
  <c r="F1021" i="4"/>
  <c r="F1022" i="4" a="1"/>
  <c r="F1022" i="4" s="1"/>
  <c r="F1023" i="4" a="1"/>
  <c r="F1023" i="4" s="1"/>
  <c r="F1024" i="4" a="1"/>
  <c r="F1024" i="4" s="1"/>
  <c r="F1025" i="4" a="1"/>
  <c r="F1025" i="4"/>
  <c r="F1026" i="4" a="1"/>
  <c r="F1026" i="4" s="1"/>
  <c r="F1027" i="4" a="1"/>
  <c r="F1027" i="4"/>
  <c r="F1028" i="4" a="1"/>
  <c r="F1028" i="4" s="1"/>
  <c r="F1029" i="4" a="1"/>
  <c r="F1029" i="4"/>
  <c r="F1030" i="4" a="1"/>
  <c r="F1030" i="4" s="1"/>
  <c r="F1031" i="4" a="1"/>
  <c r="F1031" i="4" s="1"/>
  <c r="F1032" i="4" a="1"/>
  <c r="F1032" i="4" s="1"/>
  <c r="F1033" i="4" a="1"/>
  <c r="F1033" i="4"/>
  <c r="F1034" i="4" a="1"/>
  <c r="F1034" i="4" s="1"/>
  <c r="F1035" i="4" a="1"/>
  <c r="F1035" i="4"/>
  <c r="F1036" i="4" a="1"/>
  <c r="F1036" i="4" s="1"/>
  <c r="F1037" i="4" a="1"/>
  <c r="F1037" i="4"/>
  <c r="F1038" i="4" a="1"/>
  <c r="F1038" i="4" s="1"/>
  <c r="F1039" i="4" a="1"/>
  <c r="F1039" i="4" s="1"/>
  <c r="F1040" i="4" a="1"/>
  <c r="F1040" i="4" s="1"/>
  <c r="F1041" i="4" a="1"/>
  <c r="F1041" i="4"/>
  <c r="F1042" i="4" a="1"/>
  <c r="F1042" i="4" s="1"/>
  <c r="F1043" i="4" a="1"/>
  <c r="F1043" i="4"/>
  <c r="F1044" i="4" a="1"/>
  <c r="F1044" i="4" s="1"/>
  <c r="F1045" i="4" a="1"/>
  <c r="F1045" i="4"/>
  <c r="F1046" i="4" a="1"/>
  <c r="F1046" i="4" s="1"/>
  <c r="F1047" i="4" a="1"/>
  <c r="F1047" i="4" s="1"/>
  <c r="F1048" i="4" a="1"/>
  <c r="F1048" i="4" s="1"/>
  <c r="F1049" i="4" a="1"/>
  <c r="F1049" i="4"/>
  <c r="F1050" i="4" a="1"/>
  <c r="F1050" i="4" s="1"/>
  <c r="F1051" i="4" a="1"/>
  <c r="F1051" i="4"/>
  <c r="F1052" i="4" a="1"/>
  <c r="F1052" i="4" s="1"/>
  <c r="F1053" i="4" a="1"/>
  <c r="F1053" i="4"/>
  <c r="F1054" i="4" a="1"/>
  <c r="F1054" i="4" s="1"/>
  <c r="F1055" i="4" a="1"/>
  <c r="F1055" i="4" s="1"/>
  <c r="F1056" i="4" a="1"/>
  <c r="F1056" i="4" s="1"/>
  <c r="F1057" i="4" a="1"/>
  <c r="F1057" i="4"/>
  <c r="F1058" i="4" a="1"/>
  <c r="F1058" i="4" s="1"/>
  <c r="F1059" i="4" a="1"/>
  <c r="F1059" i="4"/>
  <c r="F1060" i="4" a="1"/>
  <c r="F1060" i="4" s="1"/>
  <c r="F1061" i="4" a="1"/>
  <c r="F1061" i="4"/>
  <c r="F1062" i="4" a="1"/>
  <c r="F1062" i="4"/>
  <c r="F1063" i="4" a="1"/>
  <c r="F1063" i="4"/>
  <c r="F1064" i="4" a="1"/>
  <c r="F1064" i="4"/>
  <c r="F1065" i="4" a="1"/>
  <c r="F1065" i="4"/>
  <c r="F1066" i="4" a="1"/>
  <c r="F1066" i="4"/>
  <c r="F1067" i="4" a="1"/>
  <c r="F1067" i="4"/>
  <c r="F1068" i="4" a="1"/>
  <c r="F1068" i="4"/>
  <c r="F1069" i="4" a="1"/>
  <c r="F1069" i="4"/>
  <c r="F1070" i="4" a="1"/>
  <c r="F1070" i="4"/>
  <c r="F1071" i="4" a="1"/>
  <c r="F1071" i="4"/>
  <c r="F1072" i="4" a="1"/>
  <c r="F1072" i="4"/>
  <c r="F1073" i="4" a="1"/>
  <c r="F1073" i="4"/>
  <c r="F1074" i="4" a="1"/>
  <c r="F1074" i="4"/>
  <c r="F1075" i="4" a="1"/>
  <c r="F1075" i="4" s="1"/>
  <c r="F1076" i="4" a="1"/>
  <c r="F1076" i="4"/>
  <c r="F1077" i="4" a="1"/>
  <c r="F1077" i="4" s="1"/>
  <c r="F1078" i="4" a="1"/>
  <c r="F1078" i="4"/>
  <c r="F1079" i="4" a="1"/>
  <c r="F1079" i="4" s="1"/>
  <c r="F1080" i="4" a="1"/>
  <c r="F1080" i="4"/>
  <c r="F1081" i="4" a="1"/>
  <c r="F1081" i="4" s="1"/>
  <c r="F1082" i="4" a="1"/>
  <c r="F1082" i="4"/>
  <c r="F1083" i="4" a="1"/>
  <c r="F1083" i="4" s="1"/>
  <c r="F1084" i="4" a="1"/>
  <c r="F1084" i="4"/>
  <c r="F1085" i="4" a="1"/>
  <c r="F1085" i="4" s="1"/>
  <c r="F1086" i="4" a="1"/>
  <c r="F1086" i="4"/>
  <c r="F1087" i="4" a="1"/>
  <c r="F1087" i="4" s="1"/>
  <c r="F1088" i="4" a="1"/>
  <c r="F1088" i="4"/>
  <c r="F1089" i="4" a="1"/>
  <c r="F1089" i="4" s="1"/>
  <c r="F1090" i="4" a="1"/>
  <c r="F1090" i="4"/>
  <c r="F1091" i="4" a="1"/>
  <c r="F1091" i="4" s="1"/>
  <c r="F1092" i="4" a="1"/>
  <c r="F1092" i="4"/>
  <c r="F1093" i="4" a="1"/>
  <c r="F1093" i="4" s="1"/>
  <c r="F1094" i="4" a="1"/>
  <c r="F1094" i="4"/>
  <c r="F1095" i="4" a="1"/>
  <c r="F1095" i="4" s="1"/>
  <c r="F1096" i="4" a="1"/>
  <c r="F1096" i="4"/>
  <c r="F1097" i="4" a="1"/>
  <c r="F1097" i="4" s="1"/>
  <c r="F1098" i="4" a="1"/>
  <c r="F1098" i="4"/>
  <c r="F1099" i="4" a="1"/>
  <c r="F1099" i="4" s="1"/>
  <c r="F1100" i="4" a="1"/>
  <c r="F1100" i="4"/>
  <c r="F1101" i="4" a="1"/>
  <c r="F1101" i="4" s="1"/>
  <c r="F1102" i="4" a="1"/>
  <c r="F1102" i="4"/>
  <c r="F1103" i="4" a="1"/>
  <c r="F1103" i="4" s="1"/>
  <c r="F1104" i="4" a="1"/>
  <c r="F1104" i="4"/>
  <c r="F1105" i="4" a="1"/>
  <c r="F1105" i="4" s="1"/>
  <c r="F1106" i="4" a="1"/>
  <c r="F1106" i="4"/>
  <c r="F1107" i="4" a="1"/>
  <c r="F1107" i="4" s="1"/>
  <c r="F1108" i="4" a="1"/>
  <c r="F1108" i="4"/>
  <c r="F1109" i="4" a="1"/>
  <c r="F1109" i="4" s="1"/>
  <c r="F1110" i="4" a="1"/>
  <c r="F1110" i="4"/>
  <c r="F1111" i="4" a="1"/>
  <c r="F1111" i="4" s="1"/>
  <c r="F1112" i="4" a="1"/>
  <c r="F1112" i="4"/>
  <c r="F1113" i="4" a="1"/>
  <c r="F1113" i="4" s="1"/>
  <c r="F1114" i="4" a="1"/>
  <c r="F1114" i="4"/>
  <c r="F1115" i="4" a="1"/>
  <c r="F1115" i="4" s="1"/>
  <c r="F1116" i="4" a="1"/>
  <c r="F1116" i="4"/>
  <c r="F1117" i="4" a="1"/>
  <c r="F1117" i="4" s="1"/>
  <c r="F1118" i="4" a="1"/>
  <c r="F1118" i="4"/>
  <c r="F1119" i="4" a="1"/>
  <c r="F1119" i="4" s="1"/>
  <c r="F1120" i="4" a="1"/>
  <c r="F1120" i="4"/>
  <c r="F1121" i="4" a="1"/>
  <c r="F1121" i="4" s="1"/>
  <c r="F1122" i="4" a="1"/>
  <c r="F1122" i="4"/>
  <c r="F1123" i="4" a="1"/>
  <c r="F1123" i="4" s="1"/>
  <c r="F1124" i="4" a="1"/>
  <c r="F1124" i="4"/>
  <c r="F1125" i="4" a="1"/>
  <c r="F1125" i="4" s="1"/>
  <c r="F1126" i="4" a="1"/>
  <c r="F1126" i="4"/>
  <c r="F1127" i="4" a="1"/>
  <c r="F1127" i="4" s="1"/>
  <c r="F1128" i="4" a="1"/>
  <c r="F1128" i="4"/>
  <c r="F1129" i="4" a="1"/>
  <c r="F1129" i="4" s="1"/>
  <c r="F1130" i="4" a="1"/>
  <c r="F1130" i="4"/>
  <c r="F1131" i="4" a="1"/>
  <c r="F1131" i="4" s="1"/>
  <c r="F1132" i="4" a="1"/>
  <c r="F1132" i="4"/>
  <c r="F1133" i="4" a="1"/>
  <c r="F1133" i="4" s="1"/>
  <c r="F1134" i="4" a="1"/>
  <c r="F1134" i="4"/>
  <c r="F1135" i="4" a="1"/>
  <c r="F1135" i="4" s="1"/>
  <c r="F1136" i="4" a="1"/>
  <c r="F1136" i="4"/>
  <c r="F1137" i="4" a="1"/>
  <c r="F1137" i="4" s="1"/>
  <c r="F1138" i="4" a="1"/>
  <c r="F1138" i="4"/>
  <c r="F1139" i="4" a="1"/>
  <c r="F1139" i="4" s="1"/>
  <c r="F1140" i="4" a="1"/>
  <c r="F1140" i="4"/>
  <c r="F1141" i="4" a="1"/>
  <c r="F1141" i="4" s="1"/>
  <c r="F1142" i="4" a="1"/>
  <c r="F1142" i="4"/>
  <c r="F1143" i="4" a="1"/>
  <c r="F1143" i="4" s="1"/>
  <c r="F1144" i="4" a="1"/>
  <c r="F1144" i="4"/>
  <c r="F1145" i="4" a="1"/>
  <c r="F1145" i="4" s="1"/>
  <c r="F1146" i="4" a="1"/>
  <c r="F1146" i="4"/>
  <c r="F1147" i="4" a="1"/>
  <c r="F1147" i="4" s="1"/>
  <c r="F1148" i="4" a="1"/>
  <c r="F1148" i="4"/>
  <c r="F1149" i="4" a="1"/>
  <c r="F1149" i="4" s="1"/>
  <c r="F1150" i="4" a="1"/>
  <c r="F1150" i="4"/>
  <c r="F1151" i="4" a="1"/>
  <c r="F1151" i="4" s="1"/>
  <c r="F1152" i="4" a="1"/>
  <c r="F1152" i="4"/>
  <c r="F1153" i="4" a="1"/>
  <c r="F1153" i="4" s="1"/>
  <c r="F1154" i="4" a="1"/>
  <c r="F1154" i="4"/>
  <c r="F1155" i="4" a="1"/>
  <c r="F1155" i="4" s="1"/>
  <c r="F1156" i="4" a="1"/>
  <c r="F1156" i="4"/>
  <c r="F1157" i="4" a="1"/>
  <c r="F1157" i="4" s="1"/>
  <c r="F1158" i="4" a="1"/>
  <c r="F1158" i="4"/>
  <c r="F1159" i="4" a="1"/>
  <c r="F1159" i="4" s="1"/>
  <c r="F1160" i="4" a="1"/>
  <c r="F1160" i="4"/>
  <c r="F1161" i="4" a="1"/>
  <c r="F1161" i="4" s="1"/>
  <c r="F1162" i="4" a="1"/>
  <c r="F1162" i="4"/>
  <c r="F1163" i="4" a="1"/>
  <c r="F1163" i="4" s="1"/>
  <c r="F1164" i="4" a="1"/>
  <c r="F1164" i="4"/>
  <c r="F1165" i="4" a="1"/>
  <c r="F1165" i="4" s="1"/>
  <c r="F1166" i="4" a="1"/>
  <c r="F1166" i="4"/>
  <c r="F1167" i="4" a="1"/>
  <c r="F1167" i="4" s="1"/>
  <c r="F1168" i="4" a="1"/>
  <c r="F1168" i="4"/>
  <c r="F1169" i="4" a="1"/>
  <c r="F1169" i="4" s="1"/>
  <c r="F1170" i="4" a="1"/>
  <c r="F1170" i="4"/>
  <c r="F1171" i="4" a="1"/>
  <c r="F1171" i="4" s="1"/>
  <c r="F1172" i="4" a="1"/>
  <c r="F1172" i="4"/>
  <c r="F1173" i="4" a="1"/>
  <c r="F1173" i="4" s="1"/>
  <c r="F1174" i="4" a="1"/>
  <c r="F1174" i="4"/>
  <c r="F1175" i="4" a="1"/>
  <c r="F1175" i="4" s="1"/>
  <c r="F1176" i="4" a="1"/>
  <c r="F1176" i="4"/>
  <c r="F1177" i="4" a="1"/>
  <c r="F1177" i="4" s="1"/>
  <c r="F1178" i="4" a="1"/>
  <c r="F1178" i="4"/>
  <c r="F1179" i="4" a="1"/>
  <c r="F1179" i="4" s="1"/>
  <c r="F1180" i="4" a="1"/>
  <c r="F1180" i="4"/>
  <c r="F1181" i="4" a="1"/>
  <c r="F1181" i="4" s="1"/>
  <c r="F1182" i="4" a="1"/>
  <c r="F1182" i="4"/>
  <c r="F1183" i="4" a="1"/>
  <c r="F1183" i="4" s="1"/>
  <c r="F1184" i="4" a="1"/>
  <c r="F1184" i="4"/>
  <c r="F1185" i="4" a="1"/>
  <c r="F1185" i="4" s="1"/>
  <c r="F1186" i="4" a="1"/>
  <c r="F1186" i="4"/>
  <c r="F1187" i="4" a="1"/>
  <c r="F1187" i="4" s="1"/>
  <c r="F1188" i="4" a="1"/>
  <c r="F1188" i="4"/>
  <c r="F1189" i="4" a="1"/>
  <c r="F1189" i="4" s="1"/>
  <c r="F1190" i="4" a="1"/>
  <c r="F1190" i="4"/>
  <c r="F1191" i="4" a="1"/>
  <c r="F1191" i="4" s="1"/>
  <c r="F1192" i="4" a="1"/>
  <c r="F1192" i="4"/>
  <c r="F1193" i="4" a="1"/>
  <c r="F1193" i="4" s="1"/>
  <c r="F1194" i="4" a="1"/>
  <c r="F1194" i="4"/>
  <c r="F1195" i="4" a="1"/>
  <c r="F1195" i="4" s="1"/>
  <c r="F1196" i="4" a="1"/>
  <c r="F1196" i="4"/>
  <c r="F1197" i="4" a="1"/>
  <c r="F1197" i="4" s="1"/>
  <c r="F1198" i="4" a="1"/>
  <c r="F1198" i="4"/>
  <c r="F1199" i="4" a="1"/>
  <c r="F1199" i="4" s="1"/>
  <c r="F1200" i="4" a="1"/>
  <c r="F1200" i="4"/>
  <c r="F1201" i="4" a="1"/>
  <c r="F1201" i="4" s="1"/>
  <c r="F1202" i="4" a="1"/>
  <c r="F1202" i="4"/>
  <c r="F1203" i="4" a="1"/>
  <c r="F1203" i="4" s="1"/>
  <c r="F1204" i="4" a="1"/>
  <c r="F1204" i="4"/>
  <c r="F1205" i="4" a="1"/>
  <c r="F1205" i="4" s="1"/>
  <c r="F1206" i="4" a="1"/>
  <c r="F1206" i="4"/>
  <c r="F1207" i="4" a="1"/>
  <c r="F1207" i="4" s="1"/>
  <c r="F1208" i="4" a="1"/>
  <c r="F1208" i="4"/>
  <c r="F1209" i="4" a="1"/>
  <c r="F1209" i="4" s="1"/>
  <c r="F1210" i="4" a="1"/>
  <c r="F1210" i="4"/>
  <c r="F1211" i="4" a="1"/>
  <c r="F1211" i="4" s="1"/>
  <c r="F1212" i="4" a="1"/>
  <c r="F1212" i="4"/>
  <c r="F1213" i="4" a="1"/>
  <c r="F1213" i="4" s="1"/>
  <c r="F1214" i="4" a="1"/>
  <c r="F1214" i="4"/>
  <c r="F1215" i="4" a="1"/>
  <c r="F1215" i="4" s="1"/>
  <c r="F1216" i="4" a="1"/>
  <c r="F1216" i="4"/>
  <c r="F1217" i="4" a="1"/>
  <c r="F1217" i="4" s="1"/>
  <c r="F1218" i="4" a="1"/>
  <c r="F1218" i="4"/>
  <c r="F1219" i="4" a="1"/>
  <c r="F1219" i="4" s="1"/>
  <c r="F1220" i="4" a="1"/>
  <c r="F1220" i="4"/>
  <c r="F1221" i="4" a="1"/>
  <c r="F1221" i="4" s="1"/>
  <c r="F1222" i="4" a="1"/>
  <c r="F1222" i="4"/>
  <c r="F1223" i="4" a="1"/>
  <c r="F1223" i="4" s="1"/>
  <c r="F1224" i="4" a="1"/>
  <c r="F1224" i="4"/>
  <c r="F1225" i="4" a="1"/>
  <c r="F1225" i="4" s="1"/>
  <c r="F1226" i="4" a="1"/>
  <c r="F1226" i="4"/>
  <c r="F1227" i="4" a="1"/>
  <c r="F1227" i="4" s="1"/>
  <c r="F1228" i="4" a="1"/>
  <c r="F1228" i="4"/>
  <c r="F1229" i="4" a="1"/>
  <c r="F1229" i="4" s="1"/>
  <c r="F1230" i="4" a="1"/>
  <c r="F1230" i="4"/>
  <c r="F1231" i="4" a="1"/>
  <c r="F1231" i="4" s="1"/>
  <c r="F1232" i="4" a="1"/>
  <c r="F1232" i="4"/>
  <c r="F1233" i="4" a="1"/>
  <c r="F1233" i="4" s="1"/>
  <c r="F1234" i="4" a="1"/>
  <c r="F1234" i="4"/>
  <c r="F1235" i="4" a="1"/>
  <c r="F1235" i="4" s="1"/>
  <c r="F1236" i="4" a="1"/>
  <c r="F1236" i="4"/>
  <c r="F1237" i="4" a="1"/>
  <c r="F1237" i="4" s="1"/>
  <c r="F1238" i="4" a="1"/>
  <c r="F1238" i="4"/>
  <c r="F1239" i="4" a="1"/>
  <c r="F1239" i="4" s="1"/>
  <c r="F1240" i="4" a="1"/>
  <c r="F1240" i="4"/>
  <c r="F1241" i="4" a="1"/>
  <c r="F1241" i="4" s="1"/>
  <c r="F1242" i="4" a="1"/>
  <c r="F1242" i="4"/>
  <c r="F1243" i="4" a="1"/>
  <c r="F1243" i="4" s="1"/>
  <c r="F1244" i="4" a="1"/>
  <c r="F1244" i="4"/>
  <c r="F1245" i="4" a="1"/>
  <c r="F1245" i="4" s="1"/>
  <c r="F1246" i="4" a="1"/>
  <c r="F1246" i="4"/>
  <c r="F1247" i="4" a="1"/>
  <c r="F1247" i="4" s="1"/>
  <c r="F1248" i="4" a="1"/>
  <c r="F1248" i="4"/>
  <c r="F1249" i="4" a="1"/>
  <c r="F1249" i="4" s="1"/>
  <c r="F1250" i="4" a="1"/>
  <c r="F1250" i="4"/>
  <c r="F1251" i="4" a="1"/>
  <c r="F1251" i="4" s="1"/>
  <c r="F1252" i="4" a="1"/>
  <c r="F1252" i="4"/>
  <c r="F1253" i="4" a="1"/>
  <c r="F1253" i="4" s="1"/>
  <c r="F1254" i="4" a="1"/>
  <c r="F1254" i="4"/>
  <c r="F1255" i="4" a="1"/>
  <c r="F1255" i="4" s="1"/>
  <c r="F1256" i="4" a="1"/>
  <c r="F1256" i="4"/>
  <c r="F1257" i="4" a="1"/>
  <c r="F1257" i="4" s="1"/>
  <c r="F1258" i="4" a="1"/>
  <c r="F1258" i="4"/>
  <c r="F1259" i="4" a="1"/>
  <c r="F1259" i="4" s="1"/>
  <c r="F1260" i="4" a="1"/>
  <c r="F1260" i="4"/>
  <c r="F1261" i="4" a="1"/>
  <c r="F1261" i="4" s="1"/>
  <c r="F1262" i="4" a="1"/>
  <c r="F1262" i="4"/>
  <c r="F1263" i="4" a="1"/>
  <c r="F1263" i="4" s="1"/>
  <c r="F1264" i="4" a="1"/>
  <c r="F1264" i="4"/>
  <c r="F1265" i="4" a="1"/>
  <c r="F1265" i="4" s="1"/>
  <c r="F1266" i="4" a="1"/>
  <c r="F1266" i="4"/>
  <c r="F1267" i="4" a="1"/>
  <c r="F1267" i="4" s="1"/>
  <c r="F1268" i="4" a="1"/>
  <c r="F1268" i="4"/>
  <c r="F1269" i="4" a="1"/>
  <c r="F1269" i="4" s="1"/>
  <c r="F1270" i="4" a="1"/>
  <c r="F1270" i="4"/>
  <c r="F1271" i="4" a="1"/>
  <c r="F1271" i="4" s="1"/>
  <c r="F1272" i="4" a="1"/>
  <c r="F1272" i="4"/>
  <c r="F1273" i="4" a="1"/>
  <c r="F1273" i="4" s="1"/>
  <c r="F1274" i="4" a="1"/>
  <c r="F1274" i="4"/>
  <c r="F1275" i="4" a="1"/>
  <c r="F1275" i="4" s="1"/>
  <c r="F1276" i="4" a="1"/>
  <c r="F1276" i="4"/>
  <c r="F1277" i="4" a="1"/>
  <c r="F1277" i="4" s="1"/>
  <c r="F151" i="4" a="1"/>
  <c r="F151" i="4" s="1"/>
  <c r="F152" i="4" a="1"/>
  <c r="F152" i="4" s="1"/>
  <c r="F129" i="4" a="1"/>
  <c r="F129" i="4" s="1"/>
  <c r="F120" i="4" a="1"/>
  <c r="F120" i="4" s="1"/>
  <c r="F119" i="4" a="1"/>
  <c r="F119" i="4" s="1"/>
  <c r="F121" i="4" a="1"/>
  <c r="F121" i="4" s="1"/>
  <c r="F117" i="4" a="1"/>
  <c r="F117" i="4" s="1"/>
  <c r="F124" i="4" a="1"/>
  <c r="F124" i="4" s="1"/>
  <c r="F125" i="4" a="1"/>
  <c r="F125" i="4" s="1"/>
  <c r="F126" i="4" a="1"/>
  <c r="F126" i="4" s="1"/>
  <c r="F127" i="4" a="1"/>
  <c r="F127" i="4" s="1"/>
  <c r="F128" i="4" a="1"/>
  <c r="F128" i="4" s="1"/>
  <c r="F130" i="4" a="1"/>
  <c r="F130" i="4" s="1"/>
  <c r="F131" i="4" a="1"/>
  <c r="F131" i="4" s="1"/>
  <c r="F132" i="4" a="1"/>
  <c r="F132" i="4" s="1"/>
  <c r="F133" i="4" a="1"/>
  <c r="F133" i="4" s="1"/>
  <c r="F134" i="4" a="1"/>
  <c r="F134" i="4" s="1"/>
  <c r="F135" i="4" a="1"/>
  <c r="F135" i="4" s="1"/>
  <c r="F136" i="4" a="1"/>
  <c r="F136" i="4" s="1"/>
  <c r="F137" i="4" a="1"/>
  <c r="F137" i="4" s="1"/>
  <c r="F138" i="4" a="1"/>
  <c r="F138" i="4" s="1"/>
  <c r="F139" i="4" a="1"/>
  <c r="F139" i="4" s="1"/>
  <c r="F191" i="4" a="1"/>
  <c r="F191" i="4" s="1"/>
  <c r="F192" i="4" a="1"/>
  <c r="F192" i="4" s="1"/>
  <c r="F193" i="4" a="1"/>
  <c r="F193" i="4" s="1"/>
  <c r="F194" i="4" a="1"/>
  <c r="F194" i="4" s="1"/>
  <c r="F195" i="4" a="1"/>
  <c r="F195" i="4" s="1"/>
  <c r="F196" i="4" a="1"/>
  <c r="F196" i="4" s="1"/>
  <c r="F197" i="4" a="1"/>
  <c r="F197" i="4" s="1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 s="1"/>
  <c r="F204" i="4" a="1"/>
  <c r="F204" i="4" s="1"/>
  <c r="F205" i="4" a="1"/>
  <c r="F205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11" i="4" a="1"/>
  <c r="F211" i="4" s="1"/>
  <c r="F212" i="4" a="1"/>
  <c r="F212" i="4" s="1"/>
  <c r="F213" i="4" a="1"/>
  <c r="F213" i="4" s="1"/>
  <c r="F214" i="4" a="1"/>
  <c r="F214" i="4" s="1"/>
  <c r="F215" i="4" a="1"/>
  <c r="F215" i="4" s="1"/>
  <c r="F216" i="4" a="1"/>
  <c r="F216" i="4" s="1"/>
  <c r="F217" i="4" a="1"/>
  <c r="F217" i="4" s="1"/>
  <c r="F218" i="4" a="1"/>
  <c r="F218" i="4" s="1"/>
  <c r="F219" i="4" a="1"/>
  <c r="F219" i="4" s="1"/>
  <c r="F220" i="4" a="1"/>
  <c r="F220" i="4" s="1"/>
  <c r="F221" i="4" a="1"/>
  <c r="F221" i="4" s="1"/>
  <c r="F222" i="4" a="1"/>
  <c r="F222" i="4" s="1"/>
  <c r="F223" i="4" a="1"/>
  <c r="F223" i="4" s="1"/>
  <c r="F224" i="4" a="1"/>
  <c r="F224" i="4" s="1"/>
  <c r="F225" i="4" a="1"/>
  <c r="F225" i="4" s="1"/>
  <c r="F226" i="4" a="1"/>
  <c r="F226" i="4" s="1"/>
  <c r="F227" i="4" a="1"/>
  <c r="F227" i="4" s="1"/>
  <c r="F228" i="4" a="1"/>
  <c r="F228" i="4" s="1"/>
  <c r="F229" i="4" a="1"/>
  <c r="F229" i="4" s="1"/>
  <c r="F230" i="4" a="1"/>
  <c r="F230" i="4" s="1"/>
  <c r="F231" i="4" a="1"/>
  <c r="F231" i="4" s="1"/>
  <c r="F232" i="4" a="1"/>
  <c r="F232" i="4" s="1"/>
  <c r="F233" i="4" a="1"/>
  <c r="F233" i="4" s="1"/>
  <c r="F234" i="4" a="1"/>
  <c r="F234" i="4" s="1"/>
  <c r="F235" i="4" a="1"/>
  <c r="F235" i="4" s="1"/>
  <c r="F236" i="4" a="1"/>
  <c r="F236" i="4" s="1"/>
  <c r="F237" i="4" a="1"/>
  <c r="F237" i="4" s="1"/>
  <c r="F238" i="4" a="1"/>
  <c r="F238" i="4" s="1"/>
  <c r="F239" i="4" a="1"/>
  <c r="F239" i="4" s="1"/>
  <c r="F240" i="4" a="1"/>
  <c r="F240" i="4" s="1"/>
  <c r="F241" i="4" a="1"/>
  <c r="F241" i="4" s="1"/>
  <c r="F242" i="4" a="1"/>
  <c r="F242" i="4" s="1"/>
  <c r="F243" i="4" a="1"/>
  <c r="F243" i="4" s="1"/>
  <c r="F244" i="4" a="1"/>
  <c r="F244" i="4" s="1"/>
  <c r="F245" i="4" a="1"/>
  <c r="F245" i="4" s="1"/>
  <c r="F246" i="4" a="1"/>
  <c r="F246" i="4" s="1"/>
  <c r="F247" i="4" a="1"/>
  <c r="F247" i="4" s="1"/>
  <c r="F248" i="4" a="1"/>
  <c r="F248" i="4" s="1"/>
  <c r="F249" i="4" a="1"/>
  <c r="F249" i="4" s="1"/>
  <c r="F250" i="4" a="1"/>
  <c r="F250" i="4" s="1"/>
  <c r="F251" i="4" a="1"/>
  <c r="F251" i="4" s="1"/>
  <c r="F252" i="4" a="1"/>
  <c r="F252" i="4" s="1"/>
  <c r="F253" i="4" a="1"/>
  <c r="F253" i="4" s="1"/>
  <c r="D87" i="7" l="1"/>
  <c r="C46" i="7" a="1"/>
  <c r="C46" i="7" s="1"/>
  <c r="B44" i="7"/>
  <c r="C44" i="7" s="1" a="1"/>
  <c r="C44" i="7" s="1"/>
  <c r="B43" i="7"/>
  <c r="C43" i="7" s="1" a="1"/>
  <c r="C43" i="7" s="1"/>
  <c r="B42" i="7"/>
  <c r="C42" i="7" s="1" a="1"/>
  <c r="C42" i="7" s="1"/>
  <c r="B41" i="7"/>
  <c r="C41" i="7" s="1" a="1"/>
  <c r="C41" i="7" s="1"/>
  <c r="B40" i="7"/>
  <c r="C40" i="7" s="1" a="1"/>
  <c r="C40" i="7" s="1"/>
  <c r="B39" i="7"/>
  <c r="C39" i="7" s="1" a="1"/>
  <c r="C39" i="7" s="1"/>
  <c r="B38" i="7"/>
  <c r="C38" i="7" s="1" a="1"/>
  <c r="C38" i="7" s="1"/>
  <c r="B37" i="7"/>
  <c r="C37" i="7" s="1" a="1"/>
  <c r="C37" i="7" s="1"/>
  <c r="B36" i="7"/>
  <c r="C36" i="7" s="1" a="1"/>
  <c r="C36" i="7" s="1"/>
  <c r="B30" i="7"/>
  <c r="C30" i="7" s="1" a="1"/>
  <c r="C30" i="7" s="1"/>
  <c r="B29" i="7"/>
  <c r="C29" i="7" s="1" a="1"/>
  <c r="C29" i="7" s="1"/>
  <c r="B28" i="7"/>
  <c r="C28" i="7" s="1" a="1"/>
  <c r="C28" i="7" s="1"/>
  <c r="B27" i="7"/>
  <c r="C27" i="7" s="1" a="1"/>
  <c r="C27" i="7" s="1"/>
  <c r="B26" i="7"/>
  <c r="C26" i="7" s="1" a="1"/>
  <c r="C26" i="7" s="1"/>
  <c r="B25" i="7"/>
  <c r="C25" i="7" s="1" a="1"/>
  <c r="C25" i="7" s="1"/>
  <c r="B24" i="7"/>
  <c r="C24" i="7" s="1" a="1"/>
  <c r="C24" i="7" s="1"/>
  <c r="B23" i="7"/>
  <c r="C23" i="7" s="1" a="1"/>
  <c r="C23" i="7" s="1"/>
  <c r="B22" i="7"/>
  <c r="C22" i="7" s="1" a="1"/>
  <c r="C22" i="7" s="1"/>
  <c r="D23" i="7"/>
  <c r="D22" i="7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9" i="7" s="1"/>
  <c r="B25" i="6"/>
  <c r="B26" i="6"/>
  <c r="B27" i="6"/>
  <c r="B11" i="7" s="1"/>
  <c r="B28" i="6"/>
  <c r="B91" i="7" s="1"/>
  <c r="C91" i="7" s="1" a="1"/>
  <c r="C91" i="7" s="1"/>
  <c r="B29" i="6"/>
  <c r="B10" i="7" s="1"/>
  <c r="B30" i="6"/>
  <c r="B16" i="7" s="1"/>
  <c r="B31" i="6"/>
  <c r="B32" i="6"/>
  <c r="B33" i="6"/>
  <c r="B34" i="6"/>
  <c r="G34" i="6" s="1" a="1"/>
  <c r="G34" i="6" s="1"/>
  <c r="B35" i="6"/>
  <c r="G35" i="6" s="1" a="1"/>
  <c r="G35" i="6" s="1"/>
  <c r="B36" i="6"/>
  <c r="G36" i="6" s="1" a="1"/>
  <c r="G36" i="6" s="1"/>
  <c r="B37" i="6"/>
  <c r="G37" i="6" s="1" a="1"/>
  <c r="G37" i="6" s="1"/>
  <c r="B38" i="6"/>
  <c r="G38" i="6" s="1" a="1"/>
  <c r="G38" i="6" s="1"/>
  <c r="B39" i="6"/>
  <c r="H39" i="6" s="1" a="1"/>
  <c r="H39" i="6" s="1"/>
  <c r="B40" i="6"/>
  <c r="H40" i="6" s="1" a="1"/>
  <c r="H40" i="6" s="1"/>
  <c r="B41" i="6"/>
  <c r="H41" i="6" s="1" a="1"/>
  <c r="H41" i="6" s="1"/>
  <c r="B42" i="6"/>
  <c r="G42" i="6" s="1" a="1"/>
  <c r="G42" i="6" s="1"/>
  <c r="B43" i="6"/>
  <c r="B44" i="6"/>
  <c r="B45" i="6"/>
  <c r="B46" i="6"/>
  <c r="B47" i="6"/>
  <c r="B48" i="6"/>
  <c r="B49" i="6"/>
  <c r="B49" i="7" s="1"/>
  <c r="C49" i="7" s="1" a="1"/>
  <c r="C49" i="7" s="1"/>
  <c r="B50" i="6"/>
  <c r="B50" i="7" s="1"/>
  <c r="C50" i="7" s="1" a="1"/>
  <c r="C50" i="7" s="1"/>
  <c r="B51" i="6"/>
  <c r="B47" i="7" s="1"/>
  <c r="C47" i="7" s="1" a="1"/>
  <c r="C47" i="7" s="1"/>
  <c r="B52" i="6"/>
  <c r="B52" i="7" s="1"/>
  <c r="C52" i="7" s="1" a="1"/>
  <c r="C52" i="7" s="1"/>
  <c r="B53" i="6"/>
  <c r="B53" i="7" s="1"/>
  <c r="C53" i="7" s="1" a="1"/>
  <c r="C53" i="7" s="1"/>
  <c r="B54" i="6"/>
  <c r="B54" i="7" s="1"/>
  <c r="C54" i="7" s="1" a="1"/>
  <c r="C54" i="7" s="1"/>
  <c r="B55" i="6"/>
  <c r="B55" i="7" s="1"/>
  <c r="C55" i="7" s="1" a="1"/>
  <c r="C55" i="7" s="1"/>
  <c r="B56" i="6"/>
  <c r="B57" i="7" s="1"/>
  <c r="C57" i="7" s="1" a="1"/>
  <c r="C57" i="7" s="1"/>
  <c r="B57" i="6"/>
  <c r="B58" i="7" s="1"/>
  <c r="C58" i="7" s="1" a="1"/>
  <c r="C58" i="7" s="1"/>
  <c r="B58" i="6"/>
  <c r="B59" i="7" s="1"/>
  <c r="C59" i="7" s="1" a="1"/>
  <c r="C59" i="7" s="1"/>
  <c r="B59" i="6"/>
  <c r="B61" i="7" s="1"/>
  <c r="C61" i="7" s="1" a="1"/>
  <c r="C61" i="7" s="1"/>
  <c r="B60" i="6"/>
  <c r="B62" i="7" s="1"/>
  <c r="C62" i="7" s="1" a="1"/>
  <c r="C62" i="7" s="1"/>
  <c r="B61" i="6"/>
  <c r="B63" i="7" s="1"/>
  <c r="C63" i="7" s="1" a="1"/>
  <c r="C63" i="7" s="1"/>
  <c r="B62" i="6"/>
  <c r="B64" i="7" s="1"/>
  <c r="C64" i="7" s="1" a="1"/>
  <c r="C64" i="7" s="1"/>
  <c r="B63" i="6"/>
  <c r="B65" i="7" s="1"/>
  <c r="C65" i="7" s="1" a="1"/>
  <c r="C65" i="7" s="1"/>
  <c r="B64" i="6"/>
  <c r="B66" i="7" s="1"/>
  <c r="C66" i="7" s="1" a="1"/>
  <c r="C66" i="7" s="1"/>
  <c r="B65" i="6"/>
  <c r="B67" i="7" s="1"/>
  <c r="C67" i="7" s="1" a="1"/>
  <c r="C67" i="7" s="1"/>
  <c r="B66" i="6"/>
  <c r="B68" i="7" s="1"/>
  <c r="C68" i="7" s="1" a="1"/>
  <c r="C68" i="7" s="1"/>
  <c r="B67" i="6"/>
  <c r="B69" i="7" s="1"/>
  <c r="C69" i="7" s="1" a="1"/>
  <c r="C69" i="7" s="1"/>
  <c r="B68" i="6"/>
  <c r="B71" i="7" s="1"/>
  <c r="C71" i="7" s="1" a="1"/>
  <c r="C71" i="7" s="1"/>
  <c r="B69" i="6"/>
  <c r="B72" i="7" s="1"/>
  <c r="C72" i="7" s="1" a="1"/>
  <c r="C72" i="7" s="1"/>
  <c r="B70" i="6"/>
  <c r="B71" i="6"/>
  <c r="B73" i="7" s="1"/>
  <c r="C73" i="7" s="1" a="1"/>
  <c r="C73" i="7" s="1"/>
  <c r="B72" i="6"/>
  <c r="B75" i="7" s="1"/>
  <c r="C75" i="7" s="1" a="1"/>
  <c r="C75" i="7" s="1"/>
  <c r="B73" i="6"/>
  <c r="B76" i="7" s="1"/>
  <c r="C76" i="7" s="1" a="1"/>
  <c r="C76" i="7" s="1"/>
  <c r="B74" i="6"/>
  <c r="B77" i="7" s="1"/>
  <c r="C77" i="7" s="1" a="1"/>
  <c r="C77" i="7" s="1"/>
  <c r="B75" i="6"/>
  <c r="B78" i="7" s="1"/>
  <c r="C78" i="7" s="1" a="1"/>
  <c r="C78" i="7" s="1"/>
  <c r="B76" i="6"/>
  <c r="B79" i="7" s="1"/>
  <c r="C79" i="7" s="1" a="1"/>
  <c r="C79" i="7" s="1"/>
  <c r="B77" i="6"/>
  <c r="B80" i="7" s="1"/>
  <c r="C80" i="7" s="1" a="1"/>
  <c r="C80" i="7" s="1"/>
  <c r="B78" i="6"/>
  <c r="B81" i="7" s="1"/>
  <c r="C81" i="7" s="1" a="1"/>
  <c r="C81" i="7" s="1"/>
  <c r="B79" i="6"/>
  <c r="B82" i="7" s="1"/>
  <c r="C82" i="7" s="1" a="1"/>
  <c r="C82" i="7" s="1"/>
  <c r="B80" i="6"/>
  <c r="B83" i="7" s="1"/>
  <c r="C83" i="7" s="1" a="1"/>
  <c r="C83" i="7" s="1"/>
  <c r="B81" i="6"/>
  <c r="B84" i="7" s="1"/>
  <c r="C84" i="7" s="1" a="1"/>
  <c r="C84" i="7" s="1"/>
  <c r="B82" i="6"/>
  <c r="B85" i="7" s="1"/>
  <c r="C85" i="7" s="1" a="1"/>
  <c r="C85" i="7" s="1"/>
  <c r="B83" i="6"/>
  <c r="B84" i="6"/>
  <c r="B17" i="7" s="1"/>
  <c r="B85" i="6"/>
  <c r="B86" i="7" s="1"/>
  <c r="C86" i="7" s="1" a="1"/>
  <c r="C86" i="7" s="1"/>
  <c r="B86" i="6"/>
  <c r="B90" i="7" s="1"/>
  <c r="C90" i="7" s="1" a="1"/>
  <c r="C90" i="7" s="1"/>
  <c r="B87" i="6"/>
  <c r="B93" i="7" s="1"/>
  <c r="C93" i="7" s="1" a="1"/>
  <c r="C93" i="7" s="1"/>
  <c r="B88" i="6"/>
  <c r="B94" i="7" s="1"/>
  <c r="C94" i="7" s="1" a="1"/>
  <c r="C94" i="7" s="1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42" i="6" l="1" a="1"/>
  <c r="H42" i="6" s="1"/>
  <c r="G40" i="6" a="1"/>
  <c r="G40" i="6" s="1"/>
  <c r="G39" i="6" a="1"/>
  <c r="G39" i="6" s="1"/>
  <c r="H35" i="6" a="1"/>
  <c r="H35" i="6" s="1"/>
  <c r="H34" i="6" a="1"/>
  <c r="H34" i="6" s="1"/>
  <c r="G41" i="6" a="1"/>
  <c r="G41" i="6" s="1"/>
  <c r="H37" i="6" a="1"/>
  <c r="H37" i="6" s="1"/>
  <c r="H36" i="6" a="1"/>
  <c r="H36" i="6" s="1"/>
  <c r="H38" i="6" a="1"/>
  <c r="H38" i="6" s="1"/>
  <c r="C12" i="6" a="1"/>
  <c r="C12" i="6" s="1"/>
  <c r="C13" i="6" a="1"/>
  <c r="C13" i="6" s="1"/>
  <c r="C14" i="6" a="1"/>
  <c r="C14" i="6" s="1"/>
  <c r="C65" i="6" a="1"/>
  <c r="C65" i="6" s="1"/>
  <c r="C69" i="6" a="1"/>
  <c r="C69" i="6" s="1"/>
  <c r="C76" i="6" a="1"/>
  <c r="C76" i="6" s="1"/>
  <c r="C77" i="6" a="1"/>
  <c r="C77" i="6" s="1"/>
  <c r="C78" i="6" a="1"/>
  <c r="C78" i="6" s="1"/>
  <c r="C85" i="6" a="1"/>
  <c r="C85" i="6" s="1"/>
  <c r="C86" i="6" a="1"/>
  <c r="C86" i="6" s="1"/>
  <c r="C87" i="6" a="1"/>
  <c r="C87" i="6" s="1"/>
  <c r="C88" i="6" a="1"/>
  <c r="C88" i="6" s="1"/>
  <c r="C89" i="6" a="1"/>
  <c r="C89" i="6" s="1"/>
  <c r="C90" i="6" a="1"/>
  <c r="C90" i="6" s="1"/>
  <c r="C91" i="6" a="1"/>
  <c r="C91" i="6" s="1"/>
  <c r="H86" i="6" a="1"/>
  <c r="H86" i="6" s="1"/>
  <c r="G85" i="6" a="1"/>
  <c r="G85" i="6" s="1"/>
  <c r="G90" i="6" a="1"/>
  <c r="G90" i="6" s="1"/>
  <c r="G91" i="6" a="1"/>
  <c r="G91" i="6" s="1"/>
  <c r="G92" i="6" a="1"/>
  <c r="G92" i="6" s="1"/>
  <c r="I93" i="6"/>
  <c r="G97" i="6" a="1"/>
  <c r="G97" i="6" s="1"/>
  <c r="J72" i="6"/>
  <c r="G73" i="6" a="1"/>
  <c r="G73" i="6" s="1"/>
  <c r="G74" i="6" a="1"/>
  <c r="G74" i="6" s="1"/>
  <c r="I75" i="6"/>
  <c r="G78" i="6" a="1"/>
  <c r="G78" i="6" s="1"/>
  <c r="H79" i="6" a="1"/>
  <c r="H79" i="6" s="1"/>
  <c r="H80" i="6" a="1"/>
  <c r="H80" i="6" s="1"/>
  <c r="J81" i="6"/>
  <c r="G82" i="6" a="1"/>
  <c r="G82" i="6" s="1"/>
  <c r="J83" i="6"/>
  <c r="C84" i="6" a="1"/>
  <c r="C84" i="6" s="1"/>
  <c r="J87" i="6"/>
  <c r="G62" i="6" a="1"/>
  <c r="G62" i="6" s="1"/>
  <c r="G63" i="6" a="1"/>
  <c r="G63" i="6" s="1"/>
  <c r="G64" i="6" a="1"/>
  <c r="G64" i="6" s="1"/>
  <c r="G65" i="6" a="1"/>
  <c r="G65" i="6" s="1"/>
  <c r="C66" i="6" a="1"/>
  <c r="C66" i="6" s="1"/>
  <c r="C67" i="6" a="1"/>
  <c r="C67" i="6" s="1"/>
  <c r="C68" i="6" a="1"/>
  <c r="C68" i="6" s="1"/>
  <c r="G69" i="6" a="1"/>
  <c r="G69" i="6" s="1"/>
  <c r="H70" i="6" a="1"/>
  <c r="H70" i="6" s="1"/>
  <c r="H71" i="6" a="1"/>
  <c r="H71" i="6" s="1"/>
  <c r="J42" i="6"/>
  <c r="C43" i="6" a="1"/>
  <c r="C43" i="6" s="1"/>
  <c r="G44" i="6" a="1"/>
  <c r="G44" i="6" s="1"/>
  <c r="C45" i="6" a="1"/>
  <c r="C45" i="6" s="1"/>
  <c r="C46" i="6" a="1"/>
  <c r="C46" i="6" s="1"/>
  <c r="C47" i="6" a="1"/>
  <c r="C47" i="6" s="1"/>
  <c r="C48" i="6" a="1"/>
  <c r="C48" i="6" s="1"/>
  <c r="G49" i="6" a="1"/>
  <c r="G49" i="6" s="1"/>
  <c r="I50" i="6"/>
  <c r="G51" i="6" a="1"/>
  <c r="G51" i="6" s="1"/>
  <c r="I52" i="6"/>
  <c r="C53" i="6" a="1"/>
  <c r="C53" i="6" s="1"/>
  <c r="C54" i="6" a="1"/>
  <c r="C54" i="6" s="1"/>
  <c r="C55" i="6" a="1"/>
  <c r="C55" i="6" s="1"/>
  <c r="J56" i="6"/>
  <c r="C57" i="6" a="1"/>
  <c r="C57" i="6" s="1"/>
  <c r="J58" i="6"/>
  <c r="I59" i="6"/>
  <c r="C60" i="6" a="1"/>
  <c r="C60" i="6" s="1"/>
  <c r="C61" i="6" a="1"/>
  <c r="C61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J37" i="6"/>
  <c r="J40" i="6"/>
  <c r="C9" i="6" a="1"/>
  <c r="C9" i="6" s="1"/>
  <c r="C10" i="6" a="1"/>
  <c r="C10" i="6" s="1"/>
  <c r="C11" i="6" a="1"/>
  <c r="C11" i="6" s="1"/>
  <c r="C15" i="6" a="1"/>
  <c r="C15" i="6" s="1"/>
  <c r="C16" i="6" a="1"/>
  <c r="C16" i="6" s="1"/>
  <c r="C17" i="6" a="1"/>
  <c r="C17" i="6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4" i="6" a="1"/>
  <c r="C24" i="6" s="1"/>
  <c r="C25" i="6" a="1"/>
  <c r="C25" i="6" s="1"/>
  <c r="C26" i="6" a="1"/>
  <c r="C26" i="6" s="1"/>
  <c r="G46" i="6" a="1"/>
  <c r="G46" i="6" s="1"/>
  <c r="G47" i="6" a="1"/>
  <c r="G47" i="6" s="1"/>
  <c r="G48" i="6" a="1"/>
  <c r="G48" i="6" s="1"/>
  <c r="G50" i="6" a="1"/>
  <c r="G50" i="6" s="1"/>
  <c r="G52" i="6" a="1"/>
  <c r="G52" i="6" s="1"/>
  <c r="G53" i="6" a="1"/>
  <c r="G53" i="6" s="1"/>
  <c r="G54" i="6" a="1"/>
  <c r="G54" i="6" s="1"/>
  <c r="G55" i="6" a="1"/>
  <c r="G55" i="6" s="1"/>
  <c r="G56" i="6" a="1"/>
  <c r="G56" i="6" s="1"/>
  <c r="H46" i="6" a="1"/>
  <c r="H46" i="6" s="1"/>
  <c r="H47" i="6" a="1"/>
  <c r="H47" i="6" s="1"/>
  <c r="H53" i="6" a="1"/>
  <c r="H53" i="6" s="1"/>
  <c r="H54" i="6" a="1"/>
  <c r="H54" i="6" s="1"/>
  <c r="H55" i="6" a="1"/>
  <c r="H55" i="6" s="1"/>
  <c r="H56" i="6" a="1"/>
  <c r="H56" i="6" s="1"/>
  <c r="H62" i="6" a="1"/>
  <c r="H62" i="6" s="1"/>
  <c r="H63" i="6" a="1"/>
  <c r="H63" i="6" s="1"/>
  <c r="M116" i="6"/>
  <c r="N116" i="6"/>
  <c r="O116" i="6"/>
  <c r="P116" i="6"/>
  <c r="M117" i="6"/>
  <c r="N117" i="6"/>
  <c r="O117" i="6"/>
  <c r="P117" i="6"/>
  <c r="M118" i="6"/>
  <c r="N118" i="6"/>
  <c r="O118" i="6"/>
  <c r="P118" i="6"/>
  <c r="M119" i="6"/>
  <c r="N119" i="6"/>
  <c r="O119" i="6"/>
  <c r="P119" i="6"/>
  <c r="M120" i="6"/>
  <c r="N120" i="6"/>
  <c r="O120" i="6"/>
  <c r="P120" i="6"/>
  <c r="M121" i="6"/>
  <c r="N121" i="6"/>
  <c r="O121" i="6"/>
  <c r="P121" i="6"/>
  <c r="M122" i="6"/>
  <c r="N122" i="6"/>
  <c r="O122" i="6"/>
  <c r="P122" i="6"/>
  <c r="M123" i="6"/>
  <c r="N123" i="6"/>
  <c r="O123" i="6"/>
  <c r="P123" i="6"/>
  <c r="M124" i="6"/>
  <c r="N124" i="6"/>
  <c r="O124" i="6"/>
  <c r="P124" i="6"/>
  <c r="I35" i="6"/>
  <c r="J35" i="6"/>
  <c r="K35" i="6"/>
  <c r="L35" i="6"/>
  <c r="M35" i="6"/>
  <c r="N35" i="6"/>
  <c r="O35" i="6"/>
  <c r="P35" i="6"/>
  <c r="J36" i="6"/>
  <c r="K36" i="6"/>
  <c r="L36" i="6"/>
  <c r="M36" i="6"/>
  <c r="N36" i="6"/>
  <c r="O36" i="6"/>
  <c r="P36" i="6"/>
  <c r="K37" i="6"/>
  <c r="L37" i="6"/>
  <c r="M37" i="6"/>
  <c r="N37" i="6"/>
  <c r="O37" i="6"/>
  <c r="P37" i="6"/>
  <c r="K38" i="6"/>
  <c r="L38" i="6"/>
  <c r="M38" i="6"/>
  <c r="N38" i="6"/>
  <c r="O38" i="6"/>
  <c r="P38" i="6"/>
  <c r="J39" i="6"/>
  <c r="K39" i="6"/>
  <c r="L39" i="6"/>
  <c r="M39" i="6"/>
  <c r="N39" i="6"/>
  <c r="O39" i="6"/>
  <c r="P39" i="6"/>
  <c r="K40" i="6"/>
  <c r="L40" i="6"/>
  <c r="M40" i="6"/>
  <c r="N40" i="6"/>
  <c r="O40" i="6"/>
  <c r="P40" i="6"/>
  <c r="K41" i="6"/>
  <c r="L41" i="6"/>
  <c r="M41" i="6"/>
  <c r="N41" i="6"/>
  <c r="O41" i="6"/>
  <c r="P41" i="6"/>
  <c r="K42" i="6"/>
  <c r="L42" i="6"/>
  <c r="M42" i="6"/>
  <c r="N42" i="6"/>
  <c r="O42" i="6"/>
  <c r="P42" i="6"/>
  <c r="K43" i="6"/>
  <c r="L43" i="6"/>
  <c r="M43" i="6"/>
  <c r="N43" i="6"/>
  <c r="O43" i="6"/>
  <c r="P43" i="6"/>
  <c r="K44" i="6"/>
  <c r="L44" i="6"/>
  <c r="M44" i="6"/>
  <c r="N44" i="6"/>
  <c r="O44" i="6"/>
  <c r="P44" i="6"/>
  <c r="K45" i="6"/>
  <c r="L45" i="6"/>
  <c r="M45" i="6"/>
  <c r="N45" i="6"/>
  <c r="O45" i="6"/>
  <c r="P45" i="6"/>
  <c r="I46" i="6"/>
  <c r="J46" i="6"/>
  <c r="K46" i="6"/>
  <c r="L46" i="6"/>
  <c r="M46" i="6"/>
  <c r="N46" i="6"/>
  <c r="O46" i="6"/>
  <c r="P46" i="6"/>
  <c r="I47" i="6"/>
  <c r="K47" i="6"/>
  <c r="L47" i="6"/>
  <c r="M47" i="6"/>
  <c r="N47" i="6"/>
  <c r="O47" i="6"/>
  <c r="P47" i="6"/>
  <c r="K48" i="6"/>
  <c r="L48" i="6"/>
  <c r="M48" i="6"/>
  <c r="N48" i="6"/>
  <c r="O48" i="6"/>
  <c r="P48" i="6"/>
  <c r="K49" i="6"/>
  <c r="L49" i="6"/>
  <c r="M49" i="6"/>
  <c r="N49" i="6"/>
  <c r="O49" i="6"/>
  <c r="P49" i="6"/>
  <c r="K50" i="6"/>
  <c r="L50" i="6"/>
  <c r="M50" i="6"/>
  <c r="N50" i="6"/>
  <c r="O50" i="6"/>
  <c r="P50" i="6"/>
  <c r="K51" i="6"/>
  <c r="L51" i="6"/>
  <c r="M51" i="6"/>
  <c r="N51" i="6"/>
  <c r="O51" i="6"/>
  <c r="P51" i="6"/>
  <c r="K52" i="6"/>
  <c r="L52" i="6"/>
  <c r="M52" i="6"/>
  <c r="N52" i="6"/>
  <c r="O52" i="6"/>
  <c r="P52" i="6"/>
  <c r="K53" i="6"/>
  <c r="L53" i="6"/>
  <c r="M53" i="6"/>
  <c r="N53" i="6"/>
  <c r="O53" i="6"/>
  <c r="P53" i="6"/>
  <c r="I54" i="6"/>
  <c r="J54" i="6"/>
  <c r="K54" i="6"/>
  <c r="L54" i="6"/>
  <c r="M54" i="6"/>
  <c r="N54" i="6"/>
  <c r="O54" i="6"/>
  <c r="P54" i="6"/>
  <c r="I55" i="6"/>
  <c r="J55" i="6"/>
  <c r="K55" i="6"/>
  <c r="L55" i="6"/>
  <c r="M55" i="6"/>
  <c r="N55" i="6"/>
  <c r="O55" i="6"/>
  <c r="P55" i="6"/>
  <c r="I56" i="6"/>
  <c r="K56" i="6"/>
  <c r="L56" i="6"/>
  <c r="M56" i="6"/>
  <c r="N56" i="6"/>
  <c r="O56" i="6"/>
  <c r="P56" i="6"/>
  <c r="K57" i="6"/>
  <c r="L57" i="6"/>
  <c r="M57" i="6"/>
  <c r="N57" i="6"/>
  <c r="O57" i="6"/>
  <c r="P57" i="6"/>
  <c r="I58" i="6"/>
  <c r="K58" i="6"/>
  <c r="L58" i="6"/>
  <c r="M58" i="6"/>
  <c r="N58" i="6"/>
  <c r="O58" i="6"/>
  <c r="P58" i="6"/>
  <c r="K59" i="6"/>
  <c r="L59" i="6"/>
  <c r="M59" i="6"/>
  <c r="N59" i="6"/>
  <c r="O59" i="6"/>
  <c r="P59" i="6"/>
  <c r="K60" i="6"/>
  <c r="L60" i="6"/>
  <c r="M60" i="6"/>
  <c r="N60" i="6"/>
  <c r="O60" i="6"/>
  <c r="P60" i="6"/>
  <c r="K61" i="6"/>
  <c r="L61" i="6"/>
  <c r="M61" i="6"/>
  <c r="N61" i="6"/>
  <c r="O61" i="6"/>
  <c r="P61" i="6"/>
  <c r="I62" i="6"/>
  <c r="J62" i="6"/>
  <c r="K62" i="6"/>
  <c r="L62" i="6"/>
  <c r="M62" i="6"/>
  <c r="N62" i="6"/>
  <c r="O62" i="6"/>
  <c r="P62" i="6"/>
  <c r="I63" i="6"/>
  <c r="J63" i="6"/>
  <c r="K63" i="6"/>
  <c r="L63" i="6"/>
  <c r="M63" i="6"/>
  <c r="N63" i="6"/>
  <c r="O63" i="6"/>
  <c r="P63" i="6"/>
  <c r="R63" i="6"/>
  <c r="I64" i="6"/>
  <c r="J64" i="6"/>
  <c r="K64" i="6"/>
  <c r="L64" i="6"/>
  <c r="M64" i="6"/>
  <c r="N64" i="6"/>
  <c r="O64" i="6"/>
  <c r="P64" i="6"/>
  <c r="R64" i="6"/>
  <c r="I65" i="6"/>
  <c r="J65" i="6"/>
  <c r="K65" i="6"/>
  <c r="L65" i="6"/>
  <c r="M65" i="6"/>
  <c r="N65" i="6"/>
  <c r="O65" i="6"/>
  <c r="P65" i="6"/>
  <c r="R65" i="6"/>
  <c r="G66" i="6" a="1"/>
  <c r="G66" i="6" s="1"/>
  <c r="K66" i="6"/>
  <c r="L66" i="6"/>
  <c r="M66" i="6"/>
  <c r="N66" i="6"/>
  <c r="O66" i="6"/>
  <c r="P66" i="6"/>
  <c r="R66" i="6"/>
  <c r="G67" i="6" a="1"/>
  <c r="G67" i="6" s="1"/>
  <c r="K67" i="6"/>
  <c r="L67" i="6"/>
  <c r="M67" i="6"/>
  <c r="N67" i="6"/>
  <c r="O67" i="6"/>
  <c r="P67" i="6"/>
  <c r="R67" i="6"/>
  <c r="G68" i="6" a="1"/>
  <c r="G68" i="6" s="1"/>
  <c r="H68" i="6" a="1"/>
  <c r="H68" i="6" s="1"/>
  <c r="I68" i="6"/>
  <c r="J68" i="6"/>
  <c r="K68" i="6"/>
  <c r="L68" i="6"/>
  <c r="M68" i="6"/>
  <c r="N68" i="6"/>
  <c r="O68" i="6"/>
  <c r="P68" i="6"/>
  <c r="R68" i="6"/>
  <c r="K69" i="6"/>
  <c r="L69" i="6"/>
  <c r="M69" i="6"/>
  <c r="N69" i="6"/>
  <c r="O69" i="6"/>
  <c r="P69" i="6"/>
  <c r="R69" i="6"/>
  <c r="G70" i="6" a="1"/>
  <c r="G70" i="6" s="1"/>
  <c r="K70" i="6"/>
  <c r="L70" i="6"/>
  <c r="M70" i="6"/>
  <c r="N70" i="6"/>
  <c r="O70" i="6"/>
  <c r="P70" i="6"/>
  <c r="R70" i="6"/>
  <c r="I71" i="6"/>
  <c r="J71" i="6"/>
  <c r="K71" i="6"/>
  <c r="L71" i="6"/>
  <c r="M71" i="6"/>
  <c r="N71" i="6"/>
  <c r="O71" i="6"/>
  <c r="P71" i="6"/>
  <c r="R71" i="6"/>
  <c r="G72" i="6" a="1"/>
  <c r="G72" i="6" s="1"/>
  <c r="H72" i="6" a="1"/>
  <c r="H72" i="6" s="1"/>
  <c r="I72" i="6"/>
  <c r="K72" i="6"/>
  <c r="L72" i="6"/>
  <c r="M72" i="6"/>
  <c r="N72" i="6"/>
  <c r="O72" i="6"/>
  <c r="P72" i="6"/>
  <c r="R72" i="6"/>
  <c r="K73" i="6"/>
  <c r="L73" i="6"/>
  <c r="M73" i="6"/>
  <c r="N73" i="6"/>
  <c r="O73" i="6"/>
  <c r="P73" i="6"/>
  <c r="R73" i="6"/>
  <c r="J74" i="6"/>
  <c r="K74" i="6"/>
  <c r="L74" i="6"/>
  <c r="M74" i="6"/>
  <c r="N74" i="6"/>
  <c r="O74" i="6"/>
  <c r="P74" i="6"/>
  <c r="R74" i="6"/>
  <c r="H75" i="6" a="1"/>
  <c r="H75" i="6" s="1"/>
  <c r="K75" i="6"/>
  <c r="L75" i="6"/>
  <c r="M75" i="6"/>
  <c r="N75" i="6"/>
  <c r="O75" i="6"/>
  <c r="P75" i="6"/>
  <c r="R75" i="6"/>
  <c r="G76" i="6" a="1"/>
  <c r="G76" i="6" s="1"/>
  <c r="H76" i="6" a="1"/>
  <c r="H76" i="6" s="1"/>
  <c r="I76" i="6"/>
  <c r="J76" i="6"/>
  <c r="K76" i="6"/>
  <c r="L76" i="6"/>
  <c r="M76" i="6"/>
  <c r="N76" i="6"/>
  <c r="O76" i="6"/>
  <c r="P76" i="6"/>
  <c r="R76" i="6"/>
  <c r="G77" i="6" a="1"/>
  <c r="G77" i="6" s="1"/>
  <c r="H77" i="6" a="1"/>
  <c r="H77" i="6" s="1"/>
  <c r="I77" i="6"/>
  <c r="J77" i="6"/>
  <c r="K77" i="6"/>
  <c r="L77" i="6"/>
  <c r="M77" i="6"/>
  <c r="N77" i="6"/>
  <c r="O77" i="6"/>
  <c r="P77" i="6"/>
  <c r="R77" i="6"/>
  <c r="K78" i="6"/>
  <c r="L78" i="6"/>
  <c r="M78" i="6"/>
  <c r="N78" i="6"/>
  <c r="O78" i="6"/>
  <c r="P78" i="6"/>
  <c r="R78" i="6"/>
  <c r="K79" i="6"/>
  <c r="L79" i="6"/>
  <c r="M79" i="6"/>
  <c r="N79" i="6"/>
  <c r="O79" i="6"/>
  <c r="P79" i="6"/>
  <c r="R79" i="6"/>
  <c r="J80" i="6"/>
  <c r="K80" i="6"/>
  <c r="L80" i="6"/>
  <c r="M80" i="6"/>
  <c r="N80" i="6"/>
  <c r="O80" i="6"/>
  <c r="P80" i="6"/>
  <c r="R80" i="6"/>
  <c r="H81" i="6" a="1"/>
  <c r="H81" i="6" s="1"/>
  <c r="I81" i="6"/>
  <c r="K81" i="6"/>
  <c r="L81" i="6"/>
  <c r="M81" i="6"/>
  <c r="N81" i="6"/>
  <c r="O81" i="6"/>
  <c r="P81" i="6"/>
  <c r="R81" i="6"/>
  <c r="K82" i="6"/>
  <c r="L82" i="6"/>
  <c r="M82" i="6"/>
  <c r="N82" i="6"/>
  <c r="O82" i="6"/>
  <c r="P82" i="6"/>
  <c r="R82" i="6"/>
  <c r="I83" i="6"/>
  <c r="K83" i="6"/>
  <c r="L83" i="6"/>
  <c r="M83" i="6"/>
  <c r="N83" i="6"/>
  <c r="O83" i="6"/>
  <c r="P83" i="6"/>
  <c r="R83" i="6"/>
  <c r="G84" i="6" a="1"/>
  <c r="G84" i="6" s="1"/>
  <c r="H84" i="6" a="1"/>
  <c r="H84" i="6" s="1"/>
  <c r="I84" i="6"/>
  <c r="J84" i="6"/>
  <c r="K84" i="6"/>
  <c r="L84" i="6"/>
  <c r="M84" i="6"/>
  <c r="N84" i="6"/>
  <c r="O84" i="6"/>
  <c r="P84" i="6"/>
  <c r="R84" i="6"/>
  <c r="H85" i="6" a="1"/>
  <c r="H85" i="6" s="1"/>
  <c r="K85" i="6"/>
  <c r="L85" i="6"/>
  <c r="M85" i="6"/>
  <c r="N85" i="6"/>
  <c r="O85" i="6"/>
  <c r="P85" i="6"/>
  <c r="R85" i="6"/>
  <c r="G86" i="6" a="1"/>
  <c r="G86" i="6" s="1"/>
  <c r="K86" i="6"/>
  <c r="L86" i="6"/>
  <c r="M86" i="6"/>
  <c r="N86" i="6"/>
  <c r="O86" i="6"/>
  <c r="P86" i="6"/>
  <c r="R86" i="6"/>
  <c r="I87" i="6"/>
  <c r="K87" i="6"/>
  <c r="L87" i="6"/>
  <c r="M87" i="6"/>
  <c r="N87" i="6"/>
  <c r="O87" i="6"/>
  <c r="P87" i="6"/>
  <c r="R87" i="6"/>
  <c r="G88" i="6" a="1"/>
  <c r="G88" i="6" s="1"/>
  <c r="H88" i="6" a="1"/>
  <c r="H88" i="6" s="1"/>
  <c r="I88" i="6"/>
  <c r="J88" i="6"/>
  <c r="K88" i="6"/>
  <c r="L88" i="6"/>
  <c r="M88" i="6"/>
  <c r="N88" i="6"/>
  <c r="O88" i="6"/>
  <c r="P88" i="6"/>
  <c r="R88" i="6"/>
  <c r="G89" i="6" a="1"/>
  <c r="G89" i="6" s="1"/>
  <c r="H89" i="6" a="1"/>
  <c r="H89" i="6" s="1"/>
  <c r="I89" i="6"/>
  <c r="J89" i="6"/>
  <c r="K89" i="6"/>
  <c r="L89" i="6"/>
  <c r="M89" i="6"/>
  <c r="N89" i="6"/>
  <c r="O89" i="6"/>
  <c r="P89" i="6"/>
  <c r="R89" i="6"/>
  <c r="J90" i="6"/>
  <c r="K90" i="6"/>
  <c r="L90" i="6"/>
  <c r="M90" i="6"/>
  <c r="N90" i="6"/>
  <c r="O90" i="6"/>
  <c r="P90" i="6"/>
  <c r="R90" i="6"/>
  <c r="H91" i="6" a="1"/>
  <c r="H91" i="6" s="1"/>
  <c r="I91" i="6"/>
  <c r="J91" i="6"/>
  <c r="K91" i="6"/>
  <c r="L91" i="6"/>
  <c r="M91" i="6"/>
  <c r="N91" i="6"/>
  <c r="O91" i="6"/>
  <c r="P91" i="6"/>
  <c r="R91" i="6"/>
  <c r="K92" i="6"/>
  <c r="L92" i="6"/>
  <c r="M92" i="6"/>
  <c r="N92" i="6"/>
  <c r="O92" i="6"/>
  <c r="P92" i="6"/>
  <c r="R92" i="6"/>
  <c r="H93" i="6" a="1"/>
  <c r="H93" i="6" s="1"/>
  <c r="K93" i="6"/>
  <c r="L93" i="6"/>
  <c r="M93" i="6"/>
  <c r="N93" i="6"/>
  <c r="O93" i="6"/>
  <c r="P93" i="6"/>
  <c r="R93" i="6"/>
  <c r="G94" i="6" a="1"/>
  <c r="G94" i="6" s="1"/>
  <c r="H94" i="6" a="1"/>
  <c r="H94" i="6" s="1"/>
  <c r="I94" i="6"/>
  <c r="J94" i="6"/>
  <c r="K94" i="6"/>
  <c r="L94" i="6"/>
  <c r="M94" i="6"/>
  <c r="N94" i="6"/>
  <c r="O94" i="6"/>
  <c r="P94" i="6"/>
  <c r="R94" i="6"/>
  <c r="G95" i="6" a="1"/>
  <c r="G95" i="6" s="1"/>
  <c r="H95" i="6" a="1"/>
  <c r="H95" i="6" s="1"/>
  <c r="I95" i="6"/>
  <c r="J95" i="6"/>
  <c r="K95" i="6"/>
  <c r="L95" i="6"/>
  <c r="M95" i="6"/>
  <c r="N95" i="6"/>
  <c r="O95" i="6"/>
  <c r="P95" i="6"/>
  <c r="R95" i="6"/>
  <c r="G96" i="6" a="1"/>
  <c r="G96" i="6" s="1"/>
  <c r="H96" i="6" a="1"/>
  <c r="H96" i="6" s="1"/>
  <c r="I96" i="6"/>
  <c r="J96" i="6"/>
  <c r="K96" i="6"/>
  <c r="L96" i="6"/>
  <c r="M96" i="6"/>
  <c r="N96" i="6"/>
  <c r="O96" i="6"/>
  <c r="P96" i="6"/>
  <c r="R96" i="6"/>
  <c r="H97" i="6" a="1"/>
  <c r="H97" i="6" s="1"/>
  <c r="I97" i="6"/>
  <c r="J97" i="6"/>
  <c r="K97" i="6"/>
  <c r="L97" i="6"/>
  <c r="M97" i="6"/>
  <c r="N97" i="6"/>
  <c r="O97" i="6"/>
  <c r="P97" i="6"/>
  <c r="R97" i="6"/>
  <c r="G98" i="6" a="1"/>
  <c r="G98" i="6" s="1"/>
  <c r="H98" i="6" a="1"/>
  <c r="H98" i="6" s="1"/>
  <c r="I98" i="6"/>
  <c r="K98" i="6"/>
  <c r="L98" i="6"/>
  <c r="M98" i="6"/>
  <c r="N98" i="6"/>
  <c r="O98" i="6"/>
  <c r="P98" i="6"/>
  <c r="R98" i="6"/>
  <c r="J99" i="6"/>
  <c r="K99" i="6"/>
  <c r="L99" i="6"/>
  <c r="M99" i="6"/>
  <c r="N99" i="6"/>
  <c r="O99" i="6"/>
  <c r="P99" i="6"/>
  <c r="R99" i="6"/>
  <c r="G100" i="6" a="1"/>
  <c r="G100" i="6" s="1"/>
  <c r="H100" i="6" a="1"/>
  <c r="H100" i="6" s="1"/>
  <c r="I100" i="6"/>
  <c r="J100" i="6"/>
  <c r="K100" i="6"/>
  <c r="L100" i="6"/>
  <c r="M100" i="6"/>
  <c r="N100" i="6"/>
  <c r="O100" i="6"/>
  <c r="P100" i="6"/>
  <c r="R100" i="6"/>
  <c r="G101" i="6" a="1"/>
  <c r="G101" i="6" s="1"/>
  <c r="H101" i="6" a="1"/>
  <c r="H101" i="6" s="1"/>
  <c r="K101" i="6"/>
  <c r="L101" i="6"/>
  <c r="M101" i="6"/>
  <c r="N101" i="6"/>
  <c r="O101" i="6"/>
  <c r="P101" i="6"/>
  <c r="R101" i="6"/>
  <c r="K102" i="6"/>
  <c r="L102" i="6"/>
  <c r="M102" i="6"/>
  <c r="N102" i="6"/>
  <c r="O102" i="6"/>
  <c r="P102" i="6"/>
  <c r="R102" i="6"/>
  <c r="I103" i="6"/>
  <c r="J103" i="6"/>
  <c r="K103" i="6"/>
  <c r="L103" i="6"/>
  <c r="M103" i="6"/>
  <c r="N103" i="6"/>
  <c r="O103" i="6"/>
  <c r="P103" i="6"/>
  <c r="R103" i="6"/>
  <c r="G104" i="6" a="1"/>
  <c r="G104" i="6" s="1"/>
  <c r="K104" i="6"/>
  <c r="L104" i="6"/>
  <c r="M104" i="6"/>
  <c r="N104" i="6"/>
  <c r="O104" i="6"/>
  <c r="P104" i="6"/>
  <c r="R104" i="6"/>
  <c r="K105" i="6"/>
  <c r="L105" i="6"/>
  <c r="M105" i="6"/>
  <c r="N105" i="6"/>
  <c r="O105" i="6"/>
  <c r="P105" i="6"/>
  <c r="R105" i="6"/>
  <c r="G106" i="6" a="1"/>
  <c r="G106" i="6" s="1"/>
  <c r="H106" i="6" a="1"/>
  <c r="H106" i="6" s="1"/>
  <c r="I106" i="6"/>
  <c r="K106" i="6"/>
  <c r="L106" i="6"/>
  <c r="M106" i="6"/>
  <c r="N106" i="6"/>
  <c r="O106" i="6"/>
  <c r="P106" i="6"/>
  <c r="R106" i="6"/>
  <c r="J107" i="6"/>
  <c r="K107" i="6"/>
  <c r="L107" i="6"/>
  <c r="M107" i="6"/>
  <c r="N107" i="6"/>
  <c r="O107" i="6"/>
  <c r="P107" i="6"/>
  <c r="R107" i="6"/>
  <c r="G108" i="6" a="1"/>
  <c r="G108" i="6" s="1"/>
  <c r="H108" i="6" a="1"/>
  <c r="H108" i="6" s="1"/>
  <c r="I108" i="6"/>
  <c r="J108" i="6"/>
  <c r="K108" i="6"/>
  <c r="L108" i="6"/>
  <c r="M108" i="6"/>
  <c r="N108" i="6"/>
  <c r="O108" i="6"/>
  <c r="P108" i="6"/>
  <c r="R108" i="6"/>
  <c r="G109" i="6" a="1"/>
  <c r="G109" i="6" s="1"/>
  <c r="H109" i="6" a="1"/>
  <c r="H109" i="6" s="1"/>
  <c r="K109" i="6"/>
  <c r="L109" i="6"/>
  <c r="M109" i="6"/>
  <c r="N109" i="6"/>
  <c r="O109" i="6"/>
  <c r="P109" i="6"/>
  <c r="R109" i="6"/>
  <c r="K110" i="6"/>
  <c r="L110" i="6"/>
  <c r="M110" i="6"/>
  <c r="N110" i="6"/>
  <c r="O110" i="6"/>
  <c r="P110" i="6"/>
  <c r="R110" i="6"/>
  <c r="K111" i="6"/>
  <c r="L111" i="6"/>
  <c r="M111" i="6"/>
  <c r="N111" i="6"/>
  <c r="O111" i="6"/>
  <c r="P111" i="6"/>
  <c r="R111" i="6"/>
  <c r="K112" i="6"/>
  <c r="L112" i="6"/>
  <c r="M112" i="6"/>
  <c r="N112" i="6"/>
  <c r="O112" i="6"/>
  <c r="P112" i="6"/>
  <c r="R112" i="6"/>
  <c r="K113" i="6"/>
  <c r="L113" i="6"/>
  <c r="M113" i="6"/>
  <c r="N113" i="6"/>
  <c r="O113" i="6"/>
  <c r="P113" i="6"/>
  <c r="R113" i="6"/>
  <c r="I114" i="6"/>
  <c r="K114" i="6"/>
  <c r="L114" i="6"/>
  <c r="M114" i="6"/>
  <c r="N114" i="6"/>
  <c r="O114" i="6"/>
  <c r="P114" i="6"/>
  <c r="R114" i="6"/>
  <c r="J98" i="6"/>
  <c r="G99" i="6" a="1"/>
  <c r="G99" i="6" s="1"/>
  <c r="I101" i="6"/>
  <c r="G102" i="6" a="1"/>
  <c r="G102" i="6" s="1"/>
  <c r="G103" i="6" a="1"/>
  <c r="G103" i="6" s="1"/>
  <c r="H104" i="6" a="1"/>
  <c r="H104" i="6" s="1"/>
  <c r="H105" i="6" a="1"/>
  <c r="H105" i="6" s="1"/>
  <c r="J106" i="6"/>
  <c r="G107" i="6" a="1"/>
  <c r="G107" i="6" s="1"/>
  <c r="I109" i="6"/>
  <c r="G110" i="6" a="1"/>
  <c r="G110" i="6" s="1"/>
  <c r="B111" i="6"/>
  <c r="G111" i="6" s="1" a="1"/>
  <c r="G111" i="6" s="1"/>
  <c r="B112" i="6"/>
  <c r="H112" i="6" s="1" a="1"/>
  <c r="H112" i="6" s="1"/>
  <c r="B113" i="6"/>
  <c r="H113" i="6" s="1" a="1"/>
  <c r="H113" i="6" s="1"/>
  <c r="B114" i="6"/>
  <c r="J114" i="6" s="1"/>
  <c r="B115" i="6"/>
  <c r="R30" i="6" l="1"/>
  <c r="R49" i="6"/>
  <c r="R58" i="6"/>
  <c r="G112" i="6" a="1"/>
  <c r="G112" i="6" s="1"/>
  <c r="H114" i="6" a="1"/>
  <c r="H114" i="6" s="1"/>
  <c r="R51" i="6"/>
  <c r="R41" i="6"/>
  <c r="R57" i="6"/>
  <c r="R50" i="6"/>
  <c r="I111" i="6"/>
  <c r="J111" i="6"/>
  <c r="G114" i="6" a="1"/>
  <c r="G114" i="6" s="1"/>
  <c r="J45" i="6"/>
  <c r="J113" i="6"/>
  <c r="H111" i="6" a="1"/>
  <c r="H111" i="6" s="1"/>
  <c r="J105" i="6"/>
  <c r="H103" i="6" a="1"/>
  <c r="H103" i="6" s="1"/>
  <c r="G83" i="6" a="1"/>
  <c r="G83" i="6" s="1"/>
  <c r="I45" i="6"/>
  <c r="H61" i="6" a="1"/>
  <c r="H61" i="6" s="1"/>
  <c r="C59" i="6" a="1"/>
  <c r="C59" i="6" s="1"/>
  <c r="I105" i="6"/>
  <c r="J102" i="6"/>
  <c r="I40" i="6"/>
  <c r="R35" i="6" s="1"/>
  <c r="H59" i="6" a="1"/>
  <c r="H59" i="6" s="1"/>
  <c r="H45" i="6" a="1"/>
  <c r="H45" i="6" s="1"/>
  <c r="C58" i="6" a="1"/>
  <c r="C58" i="6" s="1"/>
  <c r="I90" i="6"/>
  <c r="J61" i="6"/>
  <c r="J53" i="6"/>
  <c r="H58" i="6" a="1"/>
  <c r="H58" i="6" s="1"/>
  <c r="G61" i="6" a="1"/>
  <c r="G61" i="6" s="1"/>
  <c r="C75" i="6" a="1"/>
  <c r="C75" i="6" s="1"/>
  <c r="G113" i="6" a="1"/>
  <c r="G113" i="6" s="1"/>
  <c r="J112" i="6"/>
  <c r="H110" i="6" a="1"/>
  <c r="H110" i="6" s="1"/>
  <c r="I107" i="6"/>
  <c r="G105" i="6" a="1"/>
  <c r="G105" i="6" s="1"/>
  <c r="J104" i="6"/>
  <c r="H102" i="6" a="1"/>
  <c r="H102" i="6" s="1"/>
  <c r="I99" i="6"/>
  <c r="H90" i="6" a="1"/>
  <c r="H90" i="6" s="1"/>
  <c r="J67" i="6"/>
  <c r="I61" i="6"/>
  <c r="I53" i="6"/>
  <c r="C72" i="6" a="1"/>
  <c r="C72" i="6" s="1"/>
  <c r="C83" i="6" a="1"/>
  <c r="C83" i="6" s="1"/>
  <c r="G93" i="6" a="1"/>
  <c r="G93" i="6" s="1"/>
  <c r="H83" i="6" a="1"/>
  <c r="H83" i="6" s="1"/>
  <c r="G75" i="6" a="1"/>
  <c r="G75" i="6" s="1"/>
  <c r="I113" i="6"/>
  <c r="J110" i="6"/>
  <c r="I110" i="6"/>
  <c r="I102" i="6"/>
  <c r="I112" i="6"/>
  <c r="J109" i="6"/>
  <c r="H107" i="6" a="1"/>
  <c r="H107" i="6" s="1"/>
  <c r="I104" i="6"/>
  <c r="J101" i="6"/>
  <c r="H99" i="6" a="1"/>
  <c r="H99" i="6" s="1"/>
  <c r="J93" i="6"/>
  <c r="J75" i="6"/>
  <c r="I67" i="6"/>
  <c r="H65" i="6" a="1"/>
  <c r="H65" i="6" s="1"/>
  <c r="R60" i="6" s="1"/>
  <c r="G45" i="6" a="1"/>
  <c r="G45" i="6" s="1"/>
  <c r="C93" i="6" a="1"/>
  <c r="C93" i="6" s="1"/>
  <c r="C71" i="6" a="1"/>
  <c r="C71" i="6" s="1"/>
  <c r="C39" i="6" a="1"/>
  <c r="C39" i="6" s="1"/>
  <c r="H67" i="6" a="1"/>
  <c r="H67" i="6" s="1"/>
  <c r="H64" i="6" a="1"/>
  <c r="H64" i="6" s="1"/>
  <c r="R59" i="6" s="1"/>
  <c r="C92" i="6" a="1"/>
  <c r="C92" i="6" s="1"/>
  <c r="C70" i="6" a="1"/>
  <c r="C70" i="6" s="1"/>
  <c r="J47" i="6"/>
  <c r="R42" i="6" s="1"/>
  <c r="C40" i="6" a="1"/>
  <c r="C40" i="6" s="1"/>
  <c r="C38" i="6" a="1"/>
  <c r="C38" i="6" s="1"/>
  <c r="I37" i="6"/>
  <c r="R32" i="6" s="1"/>
  <c r="C37" i="6" a="1"/>
  <c r="C37" i="6" s="1"/>
  <c r="I36" i="6"/>
  <c r="R31" i="6" s="1"/>
  <c r="H51" i="6" a="1"/>
  <c r="H51" i="6" s="1"/>
  <c r="G59" i="6" a="1"/>
  <c r="G59" i="6" s="1"/>
  <c r="C64" i="6" a="1"/>
  <c r="C64" i="6" s="1"/>
  <c r="H50" i="6" a="1"/>
  <c r="H50" i="6" s="1"/>
  <c r="C82" i="6" a="1"/>
  <c r="C82" i="6" s="1"/>
  <c r="J51" i="6"/>
  <c r="H49" i="6" a="1"/>
  <c r="H49" i="6" s="1"/>
  <c r="C56" i="6" a="1"/>
  <c r="C56" i="6" s="1"/>
  <c r="I82" i="6"/>
  <c r="G80" i="6" a="1"/>
  <c r="G80" i="6" s="1"/>
  <c r="G79" i="6" a="1"/>
  <c r="G79" i="6" s="1"/>
  <c r="J78" i="6"/>
  <c r="I73" i="6"/>
  <c r="G71" i="6" a="1"/>
  <c r="G71" i="6" s="1"/>
  <c r="J70" i="6"/>
  <c r="J66" i="6"/>
  <c r="J60" i="6"/>
  <c r="I51" i="6"/>
  <c r="J50" i="6"/>
  <c r="J48" i="6"/>
  <c r="G43" i="6" a="1"/>
  <c r="G43" i="6" s="1"/>
  <c r="I42" i="6"/>
  <c r="R37" i="6" s="1"/>
  <c r="J38" i="6"/>
  <c r="H48" i="6" a="1"/>
  <c r="H48" i="6" s="1"/>
  <c r="C74" i="6" a="1"/>
  <c r="C74" i="6" s="1"/>
  <c r="C42" i="6" a="1"/>
  <c r="C42" i="6" s="1"/>
  <c r="C23" i="6" a="1"/>
  <c r="C23" i="6" s="1"/>
  <c r="H52" i="6" a="1"/>
  <c r="H52" i="6" s="1"/>
  <c r="G60" i="6" a="1"/>
  <c r="G60" i="6" s="1"/>
  <c r="H74" i="6" a="1"/>
  <c r="H74" i="6" s="1"/>
  <c r="I43" i="6"/>
  <c r="C63" i="6" a="1"/>
  <c r="C63" i="6" s="1"/>
  <c r="C50" i="6" a="1"/>
  <c r="C50" i="6" s="1"/>
  <c r="C44" i="6" a="1"/>
  <c r="C44" i="6" s="1"/>
  <c r="C81" i="6" a="1"/>
  <c r="C81" i="6" s="1"/>
  <c r="C62" i="6" a="1"/>
  <c r="C62" i="6" s="1"/>
  <c r="H82" i="6" a="1"/>
  <c r="H82" i="6" s="1"/>
  <c r="I78" i="6"/>
  <c r="H73" i="6" a="1"/>
  <c r="H73" i="6" s="1"/>
  <c r="I70" i="6"/>
  <c r="I66" i="6"/>
  <c r="I60" i="6"/>
  <c r="J59" i="6"/>
  <c r="I48" i="6"/>
  <c r="I38" i="6"/>
  <c r="C80" i="6" a="1"/>
  <c r="C80" i="6" s="1"/>
  <c r="C73" i="6" a="1"/>
  <c r="C73" i="6" s="1"/>
  <c r="C41" i="6" a="1"/>
  <c r="C41" i="6" s="1"/>
  <c r="I74" i="6"/>
  <c r="J44" i="6"/>
  <c r="C52" i="6" a="1"/>
  <c r="C52" i="6" s="1"/>
  <c r="G81" i="6" a="1"/>
  <c r="G81" i="6" s="1"/>
  <c r="I44" i="6"/>
  <c r="J43" i="6"/>
  <c r="H44" i="6" a="1"/>
  <c r="H44" i="6" s="1"/>
  <c r="C51" i="6" a="1"/>
  <c r="C51" i="6" s="1"/>
  <c r="I80" i="6"/>
  <c r="J52" i="6"/>
  <c r="I39" i="6"/>
  <c r="R34" i="6" s="1"/>
  <c r="G58" i="6" a="1"/>
  <c r="G58" i="6" s="1"/>
  <c r="R53" i="6" s="1"/>
  <c r="J82" i="6"/>
  <c r="J73" i="6"/>
  <c r="H43" i="6" a="1"/>
  <c r="H43" i="6" s="1"/>
  <c r="C49" i="6" a="1"/>
  <c r="C49" i="6" s="1"/>
  <c r="H66" i="6" a="1"/>
  <c r="H66" i="6" s="1"/>
  <c r="H60" i="6" a="1"/>
  <c r="H60" i="6" s="1"/>
  <c r="C79" i="6" a="1"/>
  <c r="C79" i="6" s="1"/>
  <c r="J85" i="6"/>
  <c r="I85" i="6"/>
  <c r="J92" i="6"/>
  <c r="I92" i="6"/>
  <c r="H92" i="6" a="1"/>
  <c r="H92" i="6" s="1"/>
  <c r="H87" i="6" a="1"/>
  <c r="H87" i="6" s="1"/>
  <c r="H78" i="6" a="1"/>
  <c r="H78" i="6" s="1"/>
  <c r="G87" i="6" a="1"/>
  <c r="G87" i="6" s="1"/>
  <c r="J86" i="6"/>
  <c r="I86" i="6"/>
  <c r="J79" i="6"/>
  <c r="I79" i="6"/>
  <c r="J69" i="6"/>
  <c r="I69" i="6"/>
  <c r="H69" i="6" a="1"/>
  <c r="H69" i="6" s="1"/>
  <c r="J57" i="6"/>
  <c r="J49" i="6"/>
  <c r="G57" i="6" a="1"/>
  <c r="G57" i="6" s="1"/>
  <c r="I57" i="6"/>
  <c r="I49" i="6"/>
  <c r="H57" i="6" a="1"/>
  <c r="H57" i="6" s="1"/>
  <c r="J41" i="6"/>
  <c r="I41" i="6"/>
  <c r="R36" i="6" l="1"/>
  <c r="R48" i="6"/>
  <c r="R61" i="6"/>
  <c r="R33" i="6"/>
  <c r="R45" i="6"/>
  <c r="R47" i="6"/>
  <c r="R40" i="6"/>
  <c r="R46" i="6"/>
  <c r="R43" i="6"/>
  <c r="R39" i="6"/>
  <c r="R44" i="6"/>
  <c r="R62" i="6"/>
  <c r="R54" i="6"/>
  <c r="R56" i="6"/>
  <c r="R52" i="6"/>
  <c r="R55" i="6"/>
  <c r="R38" i="6"/>
  <c r="C31" i="12" a="1"/>
  <c r="C31" i="12" s="1"/>
  <c r="C30" i="12" a="1"/>
  <c r="C30" i="12" s="1"/>
  <c r="C29" i="12" a="1"/>
  <c r="C29" i="12" s="1"/>
  <c r="C28" i="12" a="1"/>
  <c r="C28" i="12" s="1"/>
  <c r="C27" i="12" a="1"/>
  <c r="C27" i="12" s="1"/>
  <c r="C26" i="12" a="1"/>
  <c r="C26" i="12" s="1"/>
  <c r="C25" i="12" a="1"/>
  <c r="C25" i="12" s="1"/>
  <c r="C24" i="12" a="1"/>
  <c r="C24" i="12" s="1"/>
  <c r="C23" i="12" a="1"/>
  <c r="C23" i="12" s="1"/>
  <c r="C22" i="12" a="1"/>
  <c r="C22" i="12" s="1"/>
  <c r="C21" i="12" a="1"/>
  <c r="C21" i="12" s="1"/>
  <c r="C20" i="12" a="1"/>
  <c r="C20" i="12" s="1"/>
  <c r="C19" i="12" a="1"/>
  <c r="C19" i="12" s="1"/>
  <c r="C18" i="12" a="1"/>
  <c r="C18" i="12" s="1"/>
  <c r="C17" i="12" a="1"/>
  <c r="C17" i="12" s="1"/>
  <c r="C16" i="12" a="1"/>
  <c r="C16" i="12" s="1"/>
  <c r="C15" i="12" a="1"/>
  <c r="C15" i="12" s="1"/>
  <c r="C14" i="12" a="1"/>
  <c r="C14" i="12" s="1"/>
  <c r="C13" i="12" a="1"/>
  <c r="C13" i="12" s="1"/>
  <c r="C12" i="12" a="1"/>
  <c r="C12" i="12" s="1"/>
  <c r="C11" i="12" a="1"/>
  <c r="C11" i="12" s="1"/>
  <c r="C10" i="12" a="1"/>
  <c r="C10" i="12" s="1"/>
  <c r="C9" i="12" a="1"/>
  <c r="C9" i="12" s="1"/>
  <c r="C8" i="12" a="1"/>
  <c r="C8" i="12" s="1"/>
  <c r="C6" i="12"/>
  <c r="E25" i="11" a="1"/>
  <c r="E25" i="11" s="1"/>
  <c r="E24" i="11" a="1"/>
  <c r="E24" i="11" s="1"/>
  <c r="E23" i="11" a="1"/>
  <c r="E23" i="11" s="1"/>
  <c r="E22" i="11" a="1"/>
  <c r="E22" i="11" s="1"/>
  <c r="E21" i="11" a="1"/>
  <c r="E21" i="11" s="1"/>
  <c r="E20" i="11" a="1"/>
  <c r="E20" i="11" s="1"/>
  <c r="E19" i="11" a="1"/>
  <c r="E19" i="11" s="1"/>
  <c r="E18" i="11" a="1"/>
  <c r="E18" i="11" s="1"/>
  <c r="E17" i="11" a="1"/>
  <c r="E17" i="11" s="1"/>
  <c r="E16" i="11" a="1"/>
  <c r="E16" i="11" s="1"/>
  <c r="E15" i="11" a="1"/>
  <c r="E15" i="11" s="1"/>
  <c r="E14" i="11" a="1"/>
  <c r="E14" i="11" s="1"/>
  <c r="E13" i="11" a="1"/>
  <c r="E13" i="11" s="1"/>
  <c r="E12" i="11" a="1"/>
  <c r="E12" i="11" s="1"/>
  <c r="E11" i="11" a="1"/>
  <c r="E11" i="11" s="1"/>
  <c r="E10" i="11" a="1"/>
  <c r="E10" i="11" s="1"/>
  <c r="E9" i="11" a="1"/>
  <c r="E9" i="11" s="1"/>
  <c r="E8" i="11" a="1"/>
  <c r="E8" i="11" s="1"/>
  <c r="E6" i="11"/>
  <c r="B24" i="9"/>
  <c r="C24" i="9" s="1" a="1"/>
  <c r="C24" i="9" s="1"/>
  <c r="B20" i="9"/>
  <c r="C20" i="9" s="1" a="1"/>
  <c r="C20" i="9" s="1"/>
  <c r="B19" i="9"/>
  <c r="J17" i="9"/>
  <c r="B15" i="9"/>
  <c r="B14" i="9"/>
  <c r="B13" i="9"/>
  <c r="B12" i="9"/>
  <c r="C12" i="9" s="1" a="1"/>
  <c r="C12" i="9" s="1"/>
  <c r="B11" i="9"/>
  <c r="C11" i="9" s="1" a="1"/>
  <c r="C11" i="9" s="1"/>
  <c r="B10" i="9"/>
  <c r="B9" i="9"/>
  <c r="C8" i="9" a="1"/>
  <c r="C8" i="9" s="1"/>
  <c r="B8" i="9"/>
  <c r="K38" i="7"/>
  <c r="K37" i="7"/>
  <c r="K35" i="7"/>
  <c r="K33" i="7"/>
  <c r="K24" i="7"/>
  <c r="K23" i="7"/>
  <c r="K20" i="7"/>
  <c r="K16" i="7"/>
  <c r="K15" i="7"/>
  <c r="K13" i="7"/>
  <c r="B124" i="6"/>
  <c r="B123" i="6"/>
  <c r="B122" i="6"/>
  <c r="F121" i="6" a="1"/>
  <c r="F121" i="6" s="1"/>
  <c r="B121" i="6"/>
  <c r="F120" i="6" a="1"/>
  <c r="F120" i="6" s="1"/>
  <c r="B120" i="6"/>
  <c r="R119" i="6"/>
  <c r="F119" i="6" a="1"/>
  <c r="F119" i="6" s="1"/>
  <c r="B119" i="6"/>
  <c r="R118" i="6"/>
  <c r="F118" i="6" a="1"/>
  <c r="F118" i="6" s="1"/>
  <c r="B118" i="6"/>
  <c r="R117" i="6"/>
  <c r="F117" i="6" a="1"/>
  <c r="F117" i="6" s="1"/>
  <c r="B117" i="6"/>
  <c r="C117" i="6" s="1" a="1"/>
  <c r="C117" i="6" s="1"/>
  <c r="R116" i="6"/>
  <c r="F116" i="6" a="1"/>
  <c r="F116" i="6" s="1"/>
  <c r="B116" i="6"/>
  <c r="H116" i="6" s="1" a="1"/>
  <c r="H116" i="6" s="1"/>
  <c r="R115" i="6"/>
  <c r="J115" i="6"/>
  <c r="H32" i="6" a="1"/>
  <c r="H32" i="6" s="1"/>
  <c r="H31" i="6" a="1"/>
  <c r="H31" i="6" s="1"/>
  <c r="D31" i="6" a="1"/>
  <c r="D31" i="6" s="1"/>
  <c r="H30" i="6" a="1"/>
  <c r="H30" i="6" s="1"/>
  <c r="D29" i="6" a="1"/>
  <c r="D29" i="6" s="1"/>
  <c r="J28" i="6"/>
  <c r="H28" i="6" a="1"/>
  <c r="H28" i="6" s="1"/>
  <c r="H27" i="6" a="1"/>
  <c r="H27" i="6" s="1"/>
  <c r="C16" i="7" a="1"/>
  <c r="C16" i="7" s="1"/>
  <c r="G19" i="6" a="1"/>
  <c r="G19" i="6" s="1"/>
  <c r="J17" i="6"/>
  <c r="J16" i="6"/>
  <c r="I14" i="6"/>
  <c r="J13" i="6"/>
  <c r="I13" i="6"/>
  <c r="H12" i="6" a="1"/>
  <c r="H12" i="6" s="1"/>
  <c r="G11" i="6" a="1"/>
  <c r="G11" i="6" s="1"/>
  <c r="J10" i="6"/>
  <c r="H9" i="6" a="1"/>
  <c r="H9" i="6" s="1"/>
  <c r="G9" i="6" a="1"/>
  <c r="G9" i="6" s="1"/>
  <c r="D9" i="6" a="1"/>
  <c r="D9" i="6" s="1"/>
  <c r="J9" i="6"/>
  <c r="B8" i="6"/>
  <c r="C8" i="6" s="1"/>
  <c r="B4" i="6"/>
  <c r="B4" i="7" s="1"/>
  <c r="B4" i="9" s="1"/>
  <c r="B2" i="6"/>
  <c r="H91" i="5"/>
  <c r="A27" i="5"/>
  <c r="A28" i="5" s="1"/>
  <c r="H7" i="5" a="1"/>
  <c r="H7" i="5" s="1"/>
  <c r="D7" i="5" a="1"/>
  <c r="D7" i="5" s="1"/>
  <c r="D6" i="5"/>
  <c r="H3" i="5" a="1"/>
  <c r="H3" i="5" s="1"/>
  <c r="H4" i="5" s="1" a="1"/>
  <c r="H4" i="5" s="1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F190" i="4" a="1"/>
  <c r="F190" i="4" s="1"/>
  <c r="J183" i="4"/>
  <c r="F189" i="4" a="1"/>
  <c r="F189" i="4" s="1"/>
  <c r="J182" i="4"/>
  <c r="F188" i="4" a="1"/>
  <c r="F188" i="4" s="1"/>
  <c r="J181" i="4"/>
  <c r="F187" i="4" a="1"/>
  <c r="F187" i="4" s="1"/>
  <c r="J180" i="4"/>
  <c r="F186" i="4" a="1"/>
  <c r="F186" i="4" s="1"/>
  <c r="J179" i="4"/>
  <c r="F185" i="4" a="1"/>
  <c r="F185" i="4" s="1"/>
  <c r="J178" i="4"/>
  <c r="F184" i="4" a="1"/>
  <c r="F184" i="4" s="1"/>
  <c r="J177" i="4"/>
  <c r="F183" i="4" a="1"/>
  <c r="F183" i="4" s="1"/>
  <c r="J176" i="4"/>
  <c r="F182" i="4" a="1"/>
  <c r="F182" i="4" s="1"/>
  <c r="J175" i="4"/>
  <c r="F181" i="4" a="1"/>
  <c r="F181" i="4" s="1"/>
  <c r="J174" i="4"/>
  <c r="F180" i="4" a="1"/>
  <c r="F180" i="4" s="1"/>
  <c r="J173" i="4"/>
  <c r="F179" i="4" a="1"/>
  <c r="F179" i="4" s="1"/>
  <c r="J172" i="4"/>
  <c r="F178" i="4" a="1"/>
  <c r="F178" i="4" s="1"/>
  <c r="J171" i="4"/>
  <c r="F177" i="4" a="1"/>
  <c r="F177" i="4" s="1"/>
  <c r="J170" i="4"/>
  <c r="F176" i="4" a="1"/>
  <c r="F176" i="4" s="1"/>
  <c r="J169" i="4"/>
  <c r="F175" i="4" a="1"/>
  <c r="F175" i="4" s="1"/>
  <c r="J168" i="4"/>
  <c r="F174" i="4" a="1"/>
  <c r="F174" i="4" s="1"/>
  <c r="J167" i="4"/>
  <c r="F173" i="4" a="1"/>
  <c r="F173" i="4" s="1"/>
  <c r="J166" i="4"/>
  <c r="F172" i="4" a="1"/>
  <c r="F172" i="4" s="1"/>
  <c r="J165" i="4"/>
  <c r="F171" i="4" a="1"/>
  <c r="F171" i="4" s="1"/>
  <c r="J164" i="4"/>
  <c r="F170" i="4" a="1"/>
  <c r="F170" i="4" s="1"/>
  <c r="J163" i="4"/>
  <c r="F169" i="4" a="1"/>
  <c r="F169" i="4" s="1"/>
  <c r="J162" i="4"/>
  <c r="F168" i="4" a="1"/>
  <c r="F168" i="4" s="1"/>
  <c r="J161" i="4"/>
  <c r="F167" i="4" a="1"/>
  <c r="F167" i="4" s="1"/>
  <c r="J160" i="4"/>
  <c r="F166" i="4" a="1"/>
  <c r="F166" i="4" s="1"/>
  <c r="J159" i="4"/>
  <c r="F165" i="4" a="1"/>
  <c r="F165" i="4" s="1"/>
  <c r="J158" i="4"/>
  <c r="F164" i="4" a="1"/>
  <c r="F164" i="4" s="1"/>
  <c r="J157" i="4"/>
  <c r="F163" i="4" a="1"/>
  <c r="F163" i="4" s="1"/>
  <c r="J156" i="4"/>
  <c r="F162" i="4" a="1"/>
  <c r="F162" i="4" s="1"/>
  <c r="J155" i="4"/>
  <c r="F161" i="4" a="1"/>
  <c r="F161" i="4" s="1"/>
  <c r="J154" i="4"/>
  <c r="F160" i="4" a="1"/>
  <c r="F160" i="4" s="1"/>
  <c r="J153" i="4"/>
  <c r="F159" i="4" a="1"/>
  <c r="F159" i="4" s="1"/>
  <c r="J152" i="4"/>
  <c r="F158" i="4" a="1"/>
  <c r="F158" i="4" s="1"/>
  <c r="J151" i="4"/>
  <c r="F157" i="4" a="1"/>
  <c r="F157" i="4" s="1"/>
  <c r="J150" i="4"/>
  <c r="F156" i="4" a="1"/>
  <c r="F156" i="4" s="1"/>
  <c r="J149" i="4"/>
  <c r="F155" i="4" a="1"/>
  <c r="F155" i="4" s="1"/>
  <c r="J148" i="4"/>
  <c r="F154" i="4" a="1"/>
  <c r="F154" i="4" s="1"/>
  <c r="J147" i="4"/>
  <c r="F153" i="4" a="1"/>
  <c r="F153" i="4" s="1"/>
  <c r="J146" i="4"/>
  <c r="J145" i="4"/>
  <c r="F150" i="4" a="1"/>
  <c r="F150" i="4" s="1"/>
  <c r="J144" i="4"/>
  <c r="F149" i="4" a="1"/>
  <c r="F149" i="4" s="1"/>
  <c r="J143" i="4"/>
  <c r="F148" i="4" a="1"/>
  <c r="F148" i="4" s="1"/>
  <c r="J142" i="4"/>
  <c r="F147" i="4" a="1"/>
  <c r="F147" i="4" s="1"/>
  <c r="J141" i="4"/>
  <c r="F146" i="4" a="1"/>
  <c r="F146" i="4" s="1"/>
  <c r="J140" i="4"/>
  <c r="F145" i="4" a="1"/>
  <c r="F145" i="4" s="1"/>
  <c r="J139" i="4"/>
  <c r="F144" i="4" a="1"/>
  <c r="F144" i="4" s="1"/>
  <c r="J138" i="4"/>
  <c r="F143" i="4" a="1"/>
  <c r="F143" i="4" s="1"/>
  <c r="J137" i="4"/>
  <c r="F142" i="4" a="1"/>
  <c r="F142" i="4" s="1"/>
  <c r="J136" i="4"/>
  <c r="F141" i="4" a="1"/>
  <c r="F141" i="4" s="1"/>
  <c r="J135" i="4"/>
  <c r="F140" i="4" a="1"/>
  <c r="F140" i="4" s="1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F123" i="4" a="1"/>
  <c r="F123" i="4" s="1"/>
  <c r="J118" i="4"/>
  <c r="F122" i="4" a="1"/>
  <c r="F122" i="4" s="1"/>
  <c r="J117" i="4"/>
  <c r="F118" i="4" a="1"/>
  <c r="F118" i="4" s="1"/>
  <c r="J116" i="4"/>
  <c r="F116" i="4" a="1"/>
  <c r="F116" i="4" s="1"/>
  <c r="J115" i="4"/>
  <c r="F115" i="4" a="1"/>
  <c r="F115" i="4" s="1"/>
  <c r="J114" i="4"/>
  <c r="F114" i="4" a="1"/>
  <c r="F114" i="4" s="1"/>
  <c r="J113" i="4"/>
  <c r="F113" i="4" a="1"/>
  <c r="F113" i="4" s="1"/>
  <c r="J112" i="4"/>
  <c r="F112" i="4" a="1"/>
  <c r="F112" i="4" s="1"/>
  <c r="J111" i="4"/>
  <c r="F111" i="4" a="1"/>
  <c r="F111" i="4" s="1"/>
  <c r="J110" i="4"/>
  <c r="F110" i="4" a="1"/>
  <c r="F110" i="4" s="1"/>
  <c r="J109" i="4"/>
  <c r="F109" i="4" a="1"/>
  <c r="F109" i="4" s="1"/>
  <c r="J108" i="4"/>
  <c r="F108" i="4" a="1"/>
  <c r="F108" i="4" s="1"/>
  <c r="J107" i="4"/>
  <c r="F107" i="4" a="1"/>
  <c r="F107" i="4" s="1"/>
  <c r="J106" i="4"/>
  <c r="F106" i="4" a="1"/>
  <c r="F106" i="4" s="1"/>
  <c r="J105" i="4"/>
  <c r="F105" i="4" a="1"/>
  <c r="F105" i="4" s="1"/>
  <c r="J104" i="4"/>
  <c r="F104" i="4" a="1"/>
  <c r="F104" i="4" s="1"/>
  <c r="J103" i="4"/>
  <c r="F103" i="4" a="1"/>
  <c r="F103" i="4" s="1"/>
  <c r="J102" i="4"/>
  <c r="F102" i="4" a="1"/>
  <c r="F102" i="4" s="1"/>
  <c r="J101" i="4"/>
  <c r="F101" i="4" a="1"/>
  <c r="F101" i="4" s="1"/>
  <c r="J100" i="4"/>
  <c r="F100" i="4" a="1"/>
  <c r="F100" i="4" s="1"/>
  <c r="J99" i="4"/>
  <c r="F99" i="4" a="1"/>
  <c r="F99" i="4" s="1"/>
  <c r="J98" i="4"/>
  <c r="F98" i="4" a="1"/>
  <c r="F98" i="4" s="1"/>
  <c r="J97" i="4"/>
  <c r="F97" i="4" a="1"/>
  <c r="F97" i="4" s="1"/>
  <c r="J96" i="4"/>
  <c r="F96" i="4" a="1"/>
  <c r="F96" i="4" s="1"/>
  <c r="J95" i="4"/>
  <c r="F95" i="4" a="1"/>
  <c r="F95" i="4" s="1"/>
  <c r="J94" i="4"/>
  <c r="F94" i="4" a="1"/>
  <c r="F94" i="4" s="1"/>
  <c r="J93" i="4"/>
  <c r="F93" i="4" a="1"/>
  <c r="F93" i="4" s="1"/>
  <c r="J92" i="4"/>
  <c r="F92" i="4" a="1"/>
  <c r="F92" i="4" s="1"/>
  <c r="J91" i="4"/>
  <c r="F91" i="4" a="1"/>
  <c r="F91" i="4" s="1"/>
  <c r="J90" i="4"/>
  <c r="F90" i="4" a="1"/>
  <c r="F90" i="4" s="1"/>
  <c r="J89" i="4"/>
  <c r="F89" i="4" a="1"/>
  <c r="F89" i="4" s="1"/>
  <c r="J88" i="4"/>
  <c r="F88" i="4" a="1"/>
  <c r="F88" i="4" s="1"/>
  <c r="J87" i="4"/>
  <c r="F87" i="4" a="1"/>
  <c r="F87" i="4" s="1"/>
  <c r="J86" i="4"/>
  <c r="F86" i="4" a="1"/>
  <c r="F86" i="4" s="1"/>
  <c r="J85" i="4"/>
  <c r="F85" i="4" a="1"/>
  <c r="F85" i="4" s="1"/>
  <c r="J84" i="4"/>
  <c r="F84" i="4" a="1"/>
  <c r="F84" i="4" s="1"/>
  <c r="J83" i="4"/>
  <c r="F83" i="4" a="1"/>
  <c r="F83" i="4" s="1"/>
  <c r="J82" i="4"/>
  <c r="F82" i="4" a="1"/>
  <c r="F82" i="4" s="1"/>
  <c r="J81" i="4"/>
  <c r="F81" i="4" a="1"/>
  <c r="F81" i="4" s="1"/>
  <c r="J80" i="4"/>
  <c r="F80" i="4" a="1"/>
  <c r="F80" i="4" s="1"/>
  <c r="J79" i="4"/>
  <c r="F79" i="4" a="1"/>
  <c r="F79" i="4" s="1"/>
  <c r="J78" i="4"/>
  <c r="F78" i="4" a="1"/>
  <c r="F78" i="4" s="1"/>
  <c r="J77" i="4"/>
  <c r="F77" i="4" a="1"/>
  <c r="F77" i="4" s="1"/>
  <c r="J76" i="4"/>
  <c r="F76" i="4" a="1"/>
  <c r="F76" i="4" s="1"/>
  <c r="J75" i="4"/>
  <c r="F75" i="4" a="1"/>
  <c r="F75" i="4" s="1"/>
  <c r="J74" i="4"/>
  <c r="F74" i="4" a="1"/>
  <c r="F74" i="4" s="1"/>
  <c r="J73" i="4"/>
  <c r="F73" i="4" a="1"/>
  <c r="F73" i="4" s="1"/>
  <c r="J72" i="4"/>
  <c r="F72" i="4" a="1"/>
  <c r="F72" i="4" s="1"/>
  <c r="J71" i="4"/>
  <c r="F71" i="4" a="1"/>
  <c r="F71" i="4" s="1"/>
  <c r="J70" i="4"/>
  <c r="F70" i="4" a="1"/>
  <c r="F70" i="4" s="1"/>
  <c r="J69" i="4"/>
  <c r="F69" i="4" a="1"/>
  <c r="F69" i="4" s="1"/>
  <c r="J68" i="4"/>
  <c r="F68" i="4" a="1"/>
  <c r="F68" i="4" s="1"/>
  <c r="J67" i="4"/>
  <c r="F67" i="4" a="1"/>
  <c r="F67" i="4" s="1"/>
  <c r="J66" i="4"/>
  <c r="F66" i="4" a="1"/>
  <c r="F66" i="4" s="1"/>
  <c r="J65" i="4"/>
  <c r="F65" i="4" a="1"/>
  <c r="F65" i="4" s="1"/>
  <c r="J64" i="4"/>
  <c r="F64" i="4" a="1"/>
  <c r="F64" i="4" s="1"/>
  <c r="J63" i="4"/>
  <c r="F63" i="4" a="1"/>
  <c r="F63" i="4" s="1"/>
  <c r="J62" i="4"/>
  <c r="F62" i="4" a="1"/>
  <c r="F62" i="4" s="1"/>
  <c r="J61" i="4"/>
  <c r="F61" i="4" a="1"/>
  <c r="F61" i="4" s="1"/>
  <c r="J60" i="4"/>
  <c r="F60" i="4" a="1"/>
  <c r="F60" i="4" s="1"/>
  <c r="J59" i="4"/>
  <c r="F59" i="4" a="1"/>
  <c r="F59" i="4" s="1"/>
  <c r="J58" i="4"/>
  <c r="F58" i="4" a="1"/>
  <c r="F58" i="4" s="1"/>
  <c r="J57" i="4"/>
  <c r="F57" i="4" a="1"/>
  <c r="F57" i="4" s="1"/>
  <c r="J56" i="4"/>
  <c r="F56" i="4" a="1"/>
  <c r="F56" i="4" s="1"/>
  <c r="J55" i="4"/>
  <c r="F55" i="4" a="1"/>
  <c r="F55" i="4" s="1"/>
  <c r="J54" i="4"/>
  <c r="F54" i="4" a="1"/>
  <c r="F54" i="4" s="1"/>
  <c r="J53" i="4"/>
  <c r="F53" i="4" a="1"/>
  <c r="F53" i="4" s="1"/>
  <c r="J52" i="4"/>
  <c r="F52" i="4" a="1"/>
  <c r="F52" i="4" s="1"/>
  <c r="J51" i="4"/>
  <c r="F51" i="4" a="1"/>
  <c r="F51" i="4" s="1"/>
  <c r="J50" i="4"/>
  <c r="F50" i="4" a="1"/>
  <c r="F50" i="4" s="1"/>
  <c r="J49" i="4"/>
  <c r="F49" i="4" a="1"/>
  <c r="F49" i="4" s="1"/>
  <c r="J48" i="4"/>
  <c r="F48" i="4" a="1"/>
  <c r="F48" i="4" s="1"/>
  <c r="J47" i="4"/>
  <c r="J46" i="4"/>
  <c r="F46" i="4" a="1"/>
  <c r="F46" i="4" s="1"/>
  <c r="J45" i="4"/>
  <c r="F45" i="4" a="1"/>
  <c r="F45" i="4" s="1"/>
  <c r="J44" i="4"/>
  <c r="F44" i="4" a="1"/>
  <c r="F44" i="4" s="1"/>
  <c r="J43" i="4"/>
  <c r="F43" i="4" a="1"/>
  <c r="F43" i="4" s="1"/>
  <c r="J42" i="4"/>
  <c r="F42" i="4" a="1"/>
  <c r="F42" i="4" s="1"/>
  <c r="J41" i="4"/>
  <c r="F41" i="4" a="1"/>
  <c r="F41" i="4" s="1"/>
  <c r="J40" i="4"/>
  <c r="F40" i="4" a="1"/>
  <c r="F40" i="4" s="1"/>
  <c r="J39" i="4"/>
  <c r="F39" i="4" a="1"/>
  <c r="F39" i="4" s="1"/>
  <c r="J38" i="4"/>
  <c r="F38" i="4" a="1"/>
  <c r="F38" i="4" s="1"/>
  <c r="J37" i="4"/>
  <c r="F37" i="4" a="1"/>
  <c r="F37" i="4" s="1"/>
  <c r="J36" i="4"/>
  <c r="F36" i="4" a="1"/>
  <c r="F36" i="4" s="1"/>
  <c r="J35" i="4"/>
  <c r="F35" i="4" a="1"/>
  <c r="F35" i="4" s="1"/>
  <c r="J34" i="4"/>
  <c r="F34" i="4" a="1"/>
  <c r="F34" i="4" s="1"/>
  <c r="J33" i="4"/>
  <c r="F33" i="4" a="1"/>
  <c r="F33" i="4" s="1"/>
  <c r="J32" i="4"/>
  <c r="F32" i="4" a="1"/>
  <c r="F32" i="4" s="1"/>
  <c r="J31" i="4"/>
  <c r="F31" i="4" a="1"/>
  <c r="F31" i="4" s="1"/>
  <c r="J30" i="4"/>
  <c r="F30" i="4" a="1"/>
  <c r="F30" i="4" s="1"/>
  <c r="J29" i="4"/>
  <c r="F29" i="4" a="1"/>
  <c r="F29" i="4" s="1"/>
  <c r="J28" i="4"/>
  <c r="F28" i="4" a="1"/>
  <c r="F28" i="4" s="1"/>
  <c r="J27" i="4"/>
  <c r="F27" i="4" a="1"/>
  <c r="F27" i="4" s="1"/>
  <c r="J26" i="4"/>
  <c r="F26" i="4" a="1"/>
  <c r="F26" i="4" s="1"/>
  <c r="J25" i="4"/>
  <c r="F25" i="4" a="1"/>
  <c r="F25" i="4" s="1"/>
  <c r="J24" i="4"/>
  <c r="F24" i="4" a="1"/>
  <c r="F24" i="4" s="1"/>
  <c r="J23" i="4"/>
  <c r="F23" i="4" a="1"/>
  <c r="F23" i="4" s="1"/>
  <c r="J22" i="4"/>
  <c r="F22" i="4" a="1"/>
  <c r="F22" i="4" s="1"/>
  <c r="J21" i="4"/>
  <c r="F21" i="4" a="1"/>
  <c r="F21" i="4" s="1"/>
  <c r="J20" i="4"/>
  <c r="F20" i="4" a="1"/>
  <c r="F20" i="4" s="1"/>
  <c r="J19" i="4"/>
  <c r="F19" i="4" a="1"/>
  <c r="F19" i="4" s="1"/>
  <c r="J18" i="4"/>
  <c r="F18" i="4" a="1"/>
  <c r="F18" i="4" s="1"/>
  <c r="J17" i="4"/>
  <c r="F17" i="4" a="1"/>
  <c r="F17" i="4" s="1"/>
  <c r="J16" i="4"/>
  <c r="F16" i="4" a="1"/>
  <c r="F16" i="4" s="1"/>
  <c r="J15" i="4"/>
  <c r="F15" i="4" a="1"/>
  <c r="F15" i="4" s="1"/>
  <c r="J14" i="4"/>
  <c r="F14" i="4" a="1"/>
  <c r="F14" i="4" s="1"/>
  <c r="J13" i="4"/>
  <c r="F13" i="4" a="1"/>
  <c r="F13" i="4" s="1"/>
  <c r="J12" i="4"/>
  <c r="F12" i="4" a="1"/>
  <c r="F12" i="4" s="1"/>
  <c r="J11" i="4"/>
  <c r="F11" i="4" a="1"/>
  <c r="F11" i="4" s="1"/>
  <c r="J10" i="4"/>
  <c r="F10" i="4" a="1"/>
  <c r="F10" i="4" s="1"/>
  <c r="J9" i="4"/>
  <c r="F9" i="4" a="1"/>
  <c r="F9" i="4" s="1"/>
  <c r="J8" i="4"/>
  <c r="H4" i="4"/>
  <c r="F8" i="4" a="1"/>
  <c r="F8" i="4" s="1"/>
  <c r="J7" i="4"/>
  <c r="F7" i="4" a="1"/>
  <c r="F7" i="4" s="1"/>
  <c r="G4" i="4"/>
  <c r="G19" i="3"/>
  <c r="F11" i="10" s="1"/>
  <c r="G12" i="3"/>
  <c r="F21" i="10" s="1"/>
  <c r="G11" i="3"/>
  <c r="F10" i="10" s="1"/>
  <c r="G9" i="3"/>
  <c r="F17" i="10" s="1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F4" i="4" l="1"/>
  <c r="I20" i="6"/>
  <c r="I31" i="6"/>
  <c r="D12" i="6" a="1"/>
  <c r="D12" i="6" s="1"/>
  <c r="F12" i="6" s="1" a="1"/>
  <c r="F12" i="6" s="1"/>
  <c r="H12" i="9" s="1" a="1"/>
  <c r="H12" i="9" s="1"/>
  <c r="G32" i="6" a="1"/>
  <c r="G32" i="6" s="1"/>
  <c r="D115" i="6" a="1"/>
  <c r="D115" i="6" s="1"/>
  <c r="E115" i="6" s="1" a="1"/>
  <c r="E115" i="6" s="1"/>
  <c r="I9" i="6"/>
  <c r="I12" i="6"/>
  <c r="I30" i="6"/>
  <c r="G25" i="6" a="1"/>
  <c r="G25" i="6" s="1"/>
  <c r="J21" i="6"/>
  <c r="J30" i="6"/>
  <c r="G24" i="6" a="1"/>
  <c r="G24" i="6" s="1"/>
  <c r="D13" i="6" a="1"/>
  <c r="D13" i="6" s="1"/>
  <c r="F13" i="6" s="1" a="1"/>
  <c r="F13" i="6" s="1"/>
  <c r="L13" i="6" s="1"/>
  <c r="H24" i="6" a="1"/>
  <c r="H24" i="6" s="1"/>
  <c r="G116" i="6" a="1"/>
  <c r="G116" i="6" s="1"/>
  <c r="H115" i="6" a="1"/>
  <c r="H115" i="6" s="1"/>
  <c r="G30" i="6" a="1"/>
  <c r="G30" i="6" s="1"/>
  <c r="G28" i="6" a="1"/>
  <c r="G28" i="6" s="1"/>
  <c r="I28" i="6"/>
  <c r="H29" i="6" a="1"/>
  <c r="H29" i="6" s="1"/>
  <c r="D25" i="6" a="1"/>
  <c r="D25" i="6" s="1"/>
  <c r="E25" i="6" s="1" a="1"/>
  <c r="E25" i="6" s="1"/>
  <c r="G25" i="9" a="1"/>
  <c r="G25" i="9" s="1"/>
  <c r="H25" i="6" a="1"/>
  <c r="H25" i="6" s="1"/>
  <c r="J25" i="6"/>
  <c r="D24" i="6" a="1"/>
  <c r="D24" i="6" s="1"/>
  <c r="F24" i="6" s="1" a="1"/>
  <c r="F24" i="6" s="1"/>
  <c r="G13" i="6" a="1"/>
  <c r="G13" i="6" s="1"/>
  <c r="D17" i="6" a="1"/>
  <c r="D17" i="6" s="1"/>
  <c r="E17" i="6" s="1" a="1"/>
  <c r="E17" i="6" s="1"/>
  <c r="J22" i="6"/>
  <c r="I24" i="6"/>
  <c r="I32" i="6"/>
  <c r="I115" i="6"/>
  <c r="I22" i="6"/>
  <c r="G12" i="6" a="1"/>
  <c r="G12" i="6" s="1"/>
  <c r="D16" i="6" a="1"/>
  <c r="D16" i="6" s="1"/>
  <c r="F16" i="6" s="1" a="1"/>
  <c r="F16" i="6" s="1"/>
  <c r="H19" i="9" s="1" a="1"/>
  <c r="H19" i="9" s="1"/>
  <c r="G17" i="6" a="1"/>
  <c r="G17" i="6" s="1"/>
  <c r="D20" i="6" a="1"/>
  <c r="D20" i="6" s="1"/>
  <c r="F20" i="6" s="1" a="1"/>
  <c r="F20" i="6" s="1"/>
  <c r="D21" i="6" a="1"/>
  <c r="D21" i="6" s="1"/>
  <c r="F21" i="6" s="1" a="1"/>
  <c r="F21" i="6" s="1"/>
  <c r="J32" i="6"/>
  <c r="I34" i="6"/>
  <c r="H13" i="6" a="1"/>
  <c r="H13" i="6" s="1"/>
  <c r="G16" i="6" a="1"/>
  <c r="G16" i="6" s="1"/>
  <c r="H17" i="6" a="1"/>
  <c r="H17" i="6" s="1"/>
  <c r="G21" i="6" a="1"/>
  <c r="G21" i="6" s="1"/>
  <c r="J34" i="6"/>
  <c r="H16" i="6" a="1"/>
  <c r="H16" i="6" s="1"/>
  <c r="I17" i="6"/>
  <c r="G20" i="6" a="1"/>
  <c r="G20" i="6" s="1"/>
  <c r="C116" i="6" a="1"/>
  <c r="C116" i="6" s="1"/>
  <c r="I16" i="6"/>
  <c r="H21" i="6" a="1"/>
  <c r="H21" i="6" s="1"/>
  <c r="H20" i="6" a="1"/>
  <c r="H20" i="6" s="1"/>
  <c r="I21" i="6"/>
  <c r="C89" i="5" a="1"/>
  <c r="C89" i="5" s="1"/>
  <c r="D81" i="5" a="1"/>
  <c r="D81" i="5" s="1"/>
  <c r="C78" i="5" a="1"/>
  <c r="C78" i="5" s="1"/>
  <c r="E27" i="5" a="1"/>
  <c r="E27" i="5" s="1"/>
  <c r="E84" i="5" a="1"/>
  <c r="E84" i="5" s="1"/>
  <c r="B78" i="5" a="1"/>
  <c r="B78" i="5" s="1"/>
  <c r="H78" i="5" s="1"/>
  <c r="C28" i="5" a="1"/>
  <c r="C28" i="5" s="1"/>
  <c r="D27" i="5" a="1"/>
  <c r="D27" i="5" s="1"/>
  <c r="E26" i="5" a="1"/>
  <c r="E26" i="5" s="1"/>
  <c r="C25" i="5" a="1"/>
  <c r="C25" i="5" s="1"/>
  <c r="E24" i="5" a="1"/>
  <c r="E24" i="5" s="1"/>
  <c r="C23" i="5" a="1"/>
  <c r="C23" i="5" s="1"/>
  <c r="E22" i="5" a="1"/>
  <c r="E22" i="5" s="1"/>
  <c r="C21" i="5" a="1"/>
  <c r="C21" i="5" s="1"/>
  <c r="E20" i="5" a="1"/>
  <c r="E20" i="5" s="1"/>
  <c r="C19" i="5" a="1"/>
  <c r="C19" i="5" s="1"/>
  <c r="E18" i="5" a="1"/>
  <c r="E18" i="5" s="1"/>
  <c r="C17" i="5" a="1"/>
  <c r="C17" i="5" s="1"/>
  <c r="E16" i="5" a="1"/>
  <c r="E16" i="5" s="1"/>
  <c r="C15" i="5" a="1"/>
  <c r="C15" i="5" s="1"/>
  <c r="E14" i="5" a="1"/>
  <c r="E14" i="5" s="1"/>
  <c r="C13" i="5" a="1"/>
  <c r="C13" i="5" s="1"/>
  <c r="E12" i="5" a="1"/>
  <c r="E12" i="5" s="1"/>
  <c r="C11" i="5" a="1"/>
  <c r="C11" i="5" s="1"/>
  <c r="I25" i="6"/>
  <c r="G6" i="5"/>
  <c r="E82" i="5" a="1"/>
  <c r="E82" i="5" s="1"/>
  <c r="D11" i="5" a="1"/>
  <c r="D11" i="5" s="1"/>
  <c r="B12" i="5" a="1"/>
  <c r="B12" i="5" s="1"/>
  <c r="H12" i="5" s="1"/>
  <c r="F12" i="5" a="1"/>
  <c r="F12" i="5" s="1"/>
  <c r="D13" i="5" a="1"/>
  <c r="D13" i="5" s="1"/>
  <c r="B14" i="5" a="1"/>
  <c r="B14" i="5" s="1"/>
  <c r="H14" i="5" s="1"/>
  <c r="F14" i="5" a="1"/>
  <c r="F14" i="5" s="1"/>
  <c r="D15" i="5" a="1"/>
  <c r="D15" i="5" s="1"/>
  <c r="B16" i="5" a="1"/>
  <c r="B16" i="5" s="1"/>
  <c r="H16" i="5" s="1"/>
  <c r="F16" i="5" a="1"/>
  <c r="F16" i="5" s="1"/>
  <c r="D17" i="5" a="1"/>
  <c r="D17" i="5" s="1"/>
  <c r="B18" i="5" a="1"/>
  <c r="B18" i="5" s="1"/>
  <c r="H18" i="5" s="1"/>
  <c r="F18" i="5" a="1"/>
  <c r="F18" i="5" s="1"/>
  <c r="D19" i="5" a="1"/>
  <c r="D19" i="5" s="1"/>
  <c r="B20" i="5" a="1"/>
  <c r="B20" i="5" s="1"/>
  <c r="H20" i="5" s="1"/>
  <c r="F20" i="5" a="1"/>
  <c r="F20" i="5" s="1"/>
  <c r="D21" i="5" a="1"/>
  <c r="D21" i="5" s="1"/>
  <c r="B22" i="5" a="1"/>
  <c r="B22" i="5" s="1"/>
  <c r="H22" i="5" s="1"/>
  <c r="F22" i="5" a="1"/>
  <c r="F22" i="5" s="1"/>
  <c r="D23" i="5" a="1"/>
  <c r="D23" i="5" s="1"/>
  <c r="B24" i="5" a="1"/>
  <c r="B24" i="5" s="1"/>
  <c r="H24" i="5" s="1"/>
  <c r="F24" i="5" a="1"/>
  <c r="F24" i="5" s="1"/>
  <c r="D25" i="5" a="1"/>
  <c r="D25" i="5" s="1"/>
  <c r="B26" i="5" a="1"/>
  <c r="B26" i="5" s="1"/>
  <c r="H26" i="5" s="1"/>
  <c r="D28" i="5" a="1"/>
  <c r="D28" i="5" s="1"/>
  <c r="E75" i="5" a="1"/>
  <c r="E75" i="5" s="1"/>
  <c r="F81" i="5" a="1"/>
  <c r="F81" i="5" s="1"/>
  <c r="H18" i="6" a="1"/>
  <c r="H18" i="6" s="1"/>
  <c r="F6" i="8" s="1"/>
  <c r="D18" i="6" a="1"/>
  <c r="D18" i="6" s="1"/>
  <c r="G18" i="6" a="1"/>
  <c r="G18" i="6" s="1"/>
  <c r="I18" i="6"/>
  <c r="J18" i="6"/>
  <c r="F28" i="5" a="1"/>
  <c r="F28" i="5" s="1"/>
  <c r="B28" i="5" a="1"/>
  <c r="B28" i="5" s="1"/>
  <c r="H28" i="5" s="1"/>
  <c r="E28" i="5" a="1"/>
  <c r="E28" i="5" s="1"/>
  <c r="F27" i="5" a="1"/>
  <c r="F27" i="5" s="1"/>
  <c r="B79" i="5" a="1"/>
  <c r="B79" i="5" s="1"/>
  <c r="H79" i="5" s="1"/>
  <c r="B86" i="5" a="1"/>
  <c r="B86" i="5" s="1"/>
  <c r="H86" i="5" s="1"/>
  <c r="E11" i="5" a="1"/>
  <c r="E11" i="5" s="1"/>
  <c r="C12" i="5" a="1"/>
  <c r="C12" i="5" s="1"/>
  <c r="E13" i="5" a="1"/>
  <c r="E13" i="5" s="1"/>
  <c r="C14" i="5" a="1"/>
  <c r="C14" i="5" s="1"/>
  <c r="E15" i="5" a="1"/>
  <c r="E15" i="5" s="1"/>
  <c r="C16" i="5" a="1"/>
  <c r="C16" i="5" s="1"/>
  <c r="E17" i="5" a="1"/>
  <c r="E17" i="5" s="1"/>
  <c r="C18" i="5" a="1"/>
  <c r="C18" i="5" s="1"/>
  <c r="E19" i="5" a="1"/>
  <c r="E19" i="5" s="1"/>
  <c r="C20" i="5" a="1"/>
  <c r="C20" i="5" s="1"/>
  <c r="E21" i="5" a="1"/>
  <c r="E21" i="5" s="1"/>
  <c r="C22" i="5" a="1"/>
  <c r="C22" i="5" s="1"/>
  <c r="E23" i="5" a="1"/>
  <c r="E23" i="5" s="1"/>
  <c r="C24" i="5" a="1"/>
  <c r="C24" i="5" s="1"/>
  <c r="E25" i="5" a="1"/>
  <c r="E25" i="5" s="1"/>
  <c r="C26" i="5" a="1"/>
  <c r="C26" i="5" s="1"/>
  <c r="B76" i="5" a="1"/>
  <c r="B76" i="5" s="1"/>
  <c r="H76" i="5" s="1"/>
  <c r="E89" i="5" a="1"/>
  <c r="E89" i="5" s="1"/>
  <c r="C90" i="5" a="1"/>
  <c r="C90" i="5" s="1"/>
  <c r="F88" i="5" a="1"/>
  <c r="F88" i="5" s="1"/>
  <c r="B89" i="5" a="1"/>
  <c r="B89" i="5" s="1"/>
  <c r="H89" i="5" s="1"/>
  <c r="B88" i="5" a="1"/>
  <c r="B88" i="5" s="1"/>
  <c r="H88" i="5" s="1"/>
  <c r="E86" i="5" a="1"/>
  <c r="E86" i="5" s="1"/>
  <c r="D84" i="5" a="1"/>
  <c r="D84" i="5" s="1"/>
  <c r="C82" i="5" a="1"/>
  <c r="C82" i="5" s="1"/>
  <c r="E81" i="5" a="1"/>
  <c r="E81" i="5" s="1"/>
  <c r="D79" i="5" a="1"/>
  <c r="D79" i="5" s="1"/>
  <c r="C77" i="5" a="1"/>
  <c r="C77" i="5" s="1"/>
  <c r="F75" i="5" a="1"/>
  <c r="F75" i="5" s="1"/>
  <c r="B75" i="5" a="1"/>
  <c r="B75" i="5" s="1"/>
  <c r="H75" i="5" s="1"/>
  <c r="F90" i="5" a="1"/>
  <c r="F90" i="5" s="1"/>
  <c r="C87" i="5" a="1"/>
  <c r="C87" i="5" s="1"/>
  <c r="F85" i="5" a="1"/>
  <c r="F85" i="5" s="1"/>
  <c r="B85" i="5" a="1"/>
  <c r="B85" i="5" s="1"/>
  <c r="H85" i="5" s="1"/>
  <c r="E83" i="5" a="1"/>
  <c r="E83" i="5" s="1"/>
  <c r="F80" i="5" a="1"/>
  <c r="F80" i="5" s="1"/>
  <c r="B80" i="5" a="1"/>
  <c r="B80" i="5" s="1"/>
  <c r="H80" i="5" s="1"/>
  <c r="E78" i="5" a="1"/>
  <c r="E78" i="5" s="1"/>
  <c r="D76" i="5" a="1"/>
  <c r="D76" i="5" s="1"/>
  <c r="C74" i="5" a="1"/>
  <c r="C74" i="5" s="1"/>
  <c r="F89" i="5" a="1"/>
  <c r="F89" i="5" s="1"/>
  <c r="D86" i="5" a="1"/>
  <c r="D86" i="5" s="1"/>
  <c r="C84" i="5" a="1"/>
  <c r="C84" i="5" s="1"/>
  <c r="F82" i="5" a="1"/>
  <c r="F82" i="5" s="1"/>
  <c r="B82" i="5" a="1"/>
  <c r="B82" i="5" s="1"/>
  <c r="H82" i="5" s="1"/>
  <c r="E90" i="5" a="1"/>
  <c r="E90" i="5" s="1"/>
  <c r="E88" i="5" a="1"/>
  <c r="E88" i="5" s="1"/>
  <c r="F87" i="5" a="1"/>
  <c r="F87" i="5" s="1"/>
  <c r="B87" i="5" a="1"/>
  <c r="B87" i="5" s="1"/>
  <c r="H87" i="5" s="1"/>
  <c r="E85" i="5" a="1"/>
  <c r="E85" i="5" s="1"/>
  <c r="D83" i="5" a="1"/>
  <c r="D83" i="5" s="1"/>
  <c r="E80" i="5" a="1"/>
  <c r="E80" i="5" s="1"/>
  <c r="D78" i="5" a="1"/>
  <c r="D78" i="5" s="1"/>
  <c r="C76" i="5" a="1"/>
  <c r="C76" i="5" s="1"/>
  <c r="F74" i="5" a="1"/>
  <c r="F74" i="5" s="1"/>
  <c r="B74" i="5" a="1"/>
  <c r="B74" i="5" s="1"/>
  <c r="H74" i="5" s="1"/>
  <c r="D87" i="5" a="1"/>
  <c r="D87" i="5" s="1"/>
  <c r="B83" i="5" a="1"/>
  <c r="B83" i="5" s="1"/>
  <c r="H83" i="5" s="1"/>
  <c r="D80" i="5" a="1"/>
  <c r="D80" i="5" s="1"/>
  <c r="C79" i="5" a="1"/>
  <c r="C79" i="5" s="1"/>
  <c r="E74" i="5" a="1"/>
  <c r="E74" i="5" s="1"/>
  <c r="D90" i="5" a="1"/>
  <c r="D90" i="5" s="1"/>
  <c r="D88" i="5" a="1"/>
  <c r="D88" i="5" s="1"/>
  <c r="D85" i="5" a="1"/>
  <c r="D85" i="5" s="1"/>
  <c r="C81" i="5" a="1"/>
  <c r="C81" i="5" s="1"/>
  <c r="C80" i="5" a="1"/>
  <c r="C80" i="5" s="1"/>
  <c r="F77" i="5" a="1"/>
  <c r="F77" i="5" s="1"/>
  <c r="D75" i="5" a="1"/>
  <c r="D75" i="5" s="1"/>
  <c r="D74" i="5" a="1"/>
  <c r="D74" i="5" s="1"/>
  <c r="F86" i="5" a="1"/>
  <c r="F86" i="5" s="1"/>
  <c r="D82" i="5" a="1"/>
  <c r="D82" i="5" s="1"/>
  <c r="E77" i="5" a="1"/>
  <c r="E77" i="5" s="1"/>
  <c r="E76" i="5" a="1"/>
  <c r="E76" i="5" s="1"/>
  <c r="B90" i="5" a="1"/>
  <c r="B90" i="5" s="1"/>
  <c r="H90" i="5" s="1"/>
  <c r="C88" i="5" a="1"/>
  <c r="C88" i="5" s="1"/>
  <c r="C85" i="5" a="1"/>
  <c r="C85" i="5" s="1"/>
  <c r="F83" i="5" a="1"/>
  <c r="F83" i="5" s="1"/>
  <c r="B81" i="5" a="1"/>
  <c r="B81" i="5" s="1"/>
  <c r="H81" i="5" s="1"/>
  <c r="F79" i="5" a="1"/>
  <c r="F79" i="5" s="1"/>
  <c r="F78" i="5" a="1"/>
  <c r="F78" i="5" s="1"/>
  <c r="C75" i="5" a="1"/>
  <c r="C75" i="5" s="1"/>
  <c r="F26" i="5" a="1"/>
  <c r="F26" i="5" s="1"/>
  <c r="D89" i="5" a="1"/>
  <c r="D89" i="5" s="1"/>
  <c r="C86" i="5" a="1"/>
  <c r="C86" i="5" s="1"/>
  <c r="F84" i="5" a="1"/>
  <c r="F84" i="5" s="1"/>
  <c r="D77" i="5" a="1"/>
  <c r="D77" i="5" s="1"/>
  <c r="B27" i="5" a="1"/>
  <c r="B27" i="5" s="1"/>
  <c r="H27" i="5" s="1"/>
  <c r="F76" i="5" a="1"/>
  <c r="F76" i="5" s="1"/>
  <c r="E79" i="5" a="1"/>
  <c r="E79" i="5" s="1"/>
  <c r="B11" i="5" a="1"/>
  <c r="B11" i="5" s="1"/>
  <c r="F11" i="5" a="1"/>
  <c r="F11" i="5" s="1"/>
  <c r="D12" i="5" a="1"/>
  <c r="D12" i="5" s="1"/>
  <c r="B13" i="5" a="1"/>
  <c r="B13" i="5" s="1"/>
  <c r="H13" i="5" s="1"/>
  <c r="F13" i="5" a="1"/>
  <c r="F13" i="5" s="1"/>
  <c r="D14" i="5" a="1"/>
  <c r="D14" i="5" s="1"/>
  <c r="B15" i="5" a="1"/>
  <c r="B15" i="5" s="1"/>
  <c r="H15" i="5" s="1"/>
  <c r="F15" i="5" a="1"/>
  <c r="F15" i="5" s="1"/>
  <c r="D16" i="5" a="1"/>
  <c r="D16" i="5" s="1"/>
  <c r="B17" i="5" a="1"/>
  <c r="B17" i="5" s="1"/>
  <c r="H17" i="5" s="1"/>
  <c r="F17" i="5" a="1"/>
  <c r="F17" i="5" s="1"/>
  <c r="D18" i="5" a="1"/>
  <c r="D18" i="5" s="1"/>
  <c r="B19" i="5" a="1"/>
  <c r="B19" i="5" s="1"/>
  <c r="H19" i="5" s="1"/>
  <c r="F19" i="5" a="1"/>
  <c r="F19" i="5" s="1"/>
  <c r="D20" i="5" a="1"/>
  <c r="D20" i="5" s="1"/>
  <c r="B21" i="5" a="1"/>
  <c r="B21" i="5" s="1"/>
  <c r="H21" i="5" s="1"/>
  <c r="F21" i="5" a="1"/>
  <c r="F21" i="5" s="1"/>
  <c r="D22" i="5" a="1"/>
  <c r="D22" i="5" s="1"/>
  <c r="B23" i="5" a="1"/>
  <c r="B23" i="5" s="1"/>
  <c r="H23" i="5" s="1"/>
  <c r="F23" i="5" a="1"/>
  <c r="F23" i="5" s="1"/>
  <c r="D24" i="5" a="1"/>
  <c r="D24" i="5" s="1"/>
  <c r="B25" i="5" a="1"/>
  <c r="B25" i="5" s="1"/>
  <c r="H25" i="5" s="1"/>
  <c r="F25" i="5" a="1"/>
  <c r="F25" i="5" s="1"/>
  <c r="D26" i="5" a="1"/>
  <c r="D26" i="5" s="1"/>
  <c r="B77" i="5" a="1"/>
  <c r="B77" i="5" s="1"/>
  <c r="H77" i="5" s="1"/>
  <c r="C83" i="5" a="1"/>
  <c r="C83" i="5" s="1"/>
  <c r="B4" i="11"/>
  <c r="B4" i="12" s="1"/>
  <c r="B4" i="8"/>
  <c r="B4" i="10" s="1"/>
  <c r="C27" i="5" a="1"/>
  <c r="C27" i="5" s="1"/>
  <c r="A29" i="5"/>
  <c r="B84" i="5" a="1"/>
  <c r="B84" i="5" s="1"/>
  <c r="H84" i="5" s="1"/>
  <c r="E87" i="5" a="1"/>
  <c r="E87" i="5" s="1"/>
  <c r="J8" i="6"/>
  <c r="I8" i="6"/>
  <c r="D8" i="6" a="1"/>
  <c r="D8" i="6" s="1"/>
  <c r="H8" i="6" a="1"/>
  <c r="H8" i="6" s="1"/>
  <c r="J15" i="6"/>
  <c r="I15" i="6"/>
  <c r="H15" i="6" a="1"/>
  <c r="H15" i="6" s="1"/>
  <c r="D15" i="6" a="1"/>
  <c r="D15" i="6" s="1"/>
  <c r="E31" i="6" a="1"/>
  <c r="E31" i="6" s="1"/>
  <c r="F31" i="6" a="1"/>
  <c r="F31" i="6" s="1"/>
  <c r="F9" i="6" a="1"/>
  <c r="F9" i="6" s="1"/>
  <c r="E9" i="6" a="1"/>
  <c r="E9" i="6" s="1"/>
  <c r="H10" i="6" a="1"/>
  <c r="H10" i="6" s="1"/>
  <c r="D10" i="6" a="1"/>
  <c r="D10" i="6" s="1"/>
  <c r="G10" i="6" a="1"/>
  <c r="G10" i="6" s="1"/>
  <c r="G15" i="6" a="1"/>
  <c r="G15" i="6" s="1"/>
  <c r="G8" i="6" a="1"/>
  <c r="G8" i="6" s="1"/>
  <c r="I10" i="6"/>
  <c r="C11" i="7" a="1"/>
  <c r="C11" i="7" s="1"/>
  <c r="H26" i="6" a="1"/>
  <c r="H26" i="6" s="1"/>
  <c r="D26" i="6" a="1"/>
  <c r="D26" i="6" s="1"/>
  <c r="J26" i="6"/>
  <c r="I26" i="6"/>
  <c r="J12" i="6"/>
  <c r="H14" i="6" a="1"/>
  <c r="H14" i="6" s="1"/>
  <c r="D14" i="6" a="1"/>
  <c r="D14" i="6" s="1"/>
  <c r="G14" i="6" a="1"/>
  <c r="G14" i="6" s="1"/>
  <c r="J14" i="6"/>
  <c r="F16" i="10" s="1"/>
  <c r="F18" i="10" s="1"/>
  <c r="J19" i="6"/>
  <c r="I19" i="6"/>
  <c r="H19" i="6" a="1"/>
  <c r="H19" i="6" s="1"/>
  <c r="D19" i="6" a="1"/>
  <c r="D19" i="6" s="1"/>
  <c r="J23" i="6"/>
  <c r="I23" i="6"/>
  <c r="H23" i="6" a="1"/>
  <c r="H23" i="6" s="1"/>
  <c r="D23" i="6" a="1"/>
  <c r="D23" i="6" s="1"/>
  <c r="G23" i="6" a="1"/>
  <c r="G23" i="6" s="1"/>
  <c r="G33" i="6" a="1"/>
  <c r="G33" i="6" s="1"/>
  <c r="J33" i="6"/>
  <c r="D33" i="6" a="1"/>
  <c r="D33" i="6" s="1"/>
  <c r="I33" i="6"/>
  <c r="H33" i="6" a="1"/>
  <c r="H33" i="6" s="1"/>
  <c r="J11" i="6"/>
  <c r="I11" i="6"/>
  <c r="H11" i="6" a="1"/>
  <c r="H11" i="6" s="1"/>
  <c r="D11" i="6" a="1"/>
  <c r="D11" i="6" s="1"/>
  <c r="F8" i="10"/>
  <c r="G26" i="6" a="1"/>
  <c r="G26" i="6" s="1"/>
  <c r="E29" i="6" a="1"/>
  <c r="E29" i="6" s="1"/>
  <c r="F29" i="6" a="1"/>
  <c r="F29" i="6" s="1"/>
  <c r="C19" i="9" a="1"/>
  <c r="C19" i="9" s="1"/>
  <c r="H16" i="9" a="1"/>
  <c r="H16" i="9" s="1"/>
  <c r="C12" i="7" a="1"/>
  <c r="C12" i="7" s="1"/>
  <c r="J27" i="6"/>
  <c r="G27" i="6" a="1"/>
  <c r="G27" i="6" s="1"/>
  <c r="C10" i="9" a="1"/>
  <c r="C10" i="9" s="1"/>
  <c r="C15" i="9" a="1"/>
  <c r="C15" i="9" s="1"/>
  <c r="J20" i="6"/>
  <c r="G22" i="6" a="1"/>
  <c r="G22" i="6" s="1"/>
  <c r="J24" i="6"/>
  <c r="I27" i="6"/>
  <c r="G29" i="6" a="1"/>
  <c r="G29" i="6" s="1"/>
  <c r="J29" i="6"/>
  <c r="G27" i="9" a="1"/>
  <c r="G27" i="9" s="1"/>
  <c r="G23" i="9" a="1"/>
  <c r="G23" i="9" s="1"/>
  <c r="G21" i="9" a="1"/>
  <c r="G21" i="9" s="1"/>
  <c r="F18" i="9" a="1"/>
  <c r="F18" i="9" s="1"/>
  <c r="F17" i="9" a="1"/>
  <c r="F17" i="9" s="1"/>
  <c r="F26" i="9" a="1"/>
  <c r="F26" i="9" s="1"/>
  <c r="H7" i="9" a="1"/>
  <c r="H7" i="9" s="1"/>
  <c r="F27" i="9" a="1"/>
  <c r="F27" i="9" s="1"/>
  <c r="F23" i="9" a="1"/>
  <c r="F23" i="9" s="1"/>
  <c r="F21" i="9" a="1"/>
  <c r="F21" i="9" s="1"/>
  <c r="H25" i="9" a="1"/>
  <c r="H25" i="9" s="1"/>
  <c r="H18" i="9" a="1"/>
  <c r="H18" i="9" s="1"/>
  <c r="H17" i="9" a="1"/>
  <c r="H17" i="9" s="1"/>
  <c r="G16" i="9" a="1"/>
  <c r="G16" i="9" s="1"/>
  <c r="H26" i="9" a="1"/>
  <c r="H26" i="9" s="1"/>
  <c r="H27" i="9" a="1"/>
  <c r="H27" i="9" s="1"/>
  <c r="H23" i="9" a="1"/>
  <c r="H23" i="9" s="1"/>
  <c r="H21" i="9" a="1"/>
  <c r="H21" i="9" s="1"/>
  <c r="G18" i="9" a="1"/>
  <c r="G18" i="9" s="1"/>
  <c r="G17" i="9" a="1"/>
  <c r="G17" i="9" s="1"/>
  <c r="F16" i="9" a="1"/>
  <c r="F16" i="9" s="1"/>
  <c r="G26" i="9" a="1"/>
  <c r="G26" i="9" s="1"/>
  <c r="F25" i="9" a="1"/>
  <c r="F25" i="9" s="1"/>
  <c r="B2" i="7"/>
  <c r="B2" i="9" s="1"/>
  <c r="B2" i="8" s="1"/>
  <c r="B2" i="10" s="1"/>
  <c r="B2" i="11" s="1"/>
  <c r="B2" i="12" s="1"/>
  <c r="D27" i="6" a="1"/>
  <c r="D27" i="6" s="1"/>
  <c r="C10" i="7" a="1"/>
  <c r="C10" i="7" s="1"/>
  <c r="D22" i="6" a="1"/>
  <c r="D22" i="6" s="1"/>
  <c r="H22" i="6" a="1"/>
  <c r="H22" i="6" s="1"/>
  <c r="I29" i="6"/>
  <c r="J31" i="6"/>
  <c r="G31" i="6" a="1"/>
  <c r="G31" i="6" s="1"/>
  <c r="F7" i="9" a="1"/>
  <c r="F7" i="9" s="1"/>
  <c r="C9" i="9" a="1"/>
  <c r="C9" i="9" s="1"/>
  <c r="C13" i="9" a="1"/>
  <c r="C13" i="9" s="1"/>
  <c r="D28" i="6" a="1"/>
  <c r="D28" i="6" s="1"/>
  <c r="D32" i="6" a="1"/>
  <c r="D32" i="6" s="1"/>
  <c r="C115" i="6" a="1"/>
  <c r="C115" i="6" s="1"/>
  <c r="G115" i="6" a="1"/>
  <c r="G115" i="6" s="1"/>
  <c r="C14" i="9" a="1"/>
  <c r="C14" i="9" s="1"/>
  <c r="D30" i="6" a="1"/>
  <c r="D30" i="6" s="1"/>
  <c r="D34" i="6" a="1"/>
  <c r="D34" i="6" s="1"/>
  <c r="I10" i="7" l="1" a="1"/>
  <c r="I10" i="7" s="1"/>
  <c r="E12" i="6" a="1"/>
  <c r="E12" i="6" s="1"/>
  <c r="N12" i="6" s="1"/>
  <c r="F115" i="6" a="1"/>
  <c r="F115" i="6" s="1"/>
  <c r="K115" i="6" s="1"/>
  <c r="M115" i="6"/>
  <c r="P115" i="6"/>
  <c r="N115" i="6"/>
  <c r="O115" i="6"/>
  <c r="I14" i="7" a="1"/>
  <c r="I14" i="7" s="1"/>
  <c r="E13" i="6" a="1"/>
  <c r="E13" i="6" s="1"/>
  <c r="N13" i="6" s="1"/>
  <c r="H13" i="9" a="1"/>
  <c r="H13" i="9" s="1"/>
  <c r="F25" i="6" a="1"/>
  <c r="F25" i="6" s="1"/>
  <c r="F17" i="6" a="1"/>
  <c r="F17" i="6" s="1"/>
  <c r="K17" i="6" s="1"/>
  <c r="O17" i="6" s="1"/>
  <c r="F20" i="9" s="1" a="1"/>
  <c r="F20" i="9" s="1"/>
  <c r="E24" i="6" a="1"/>
  <c r="E24" i="6" s="1"/>
  <c r="O24" i="6" s="1"/>
  <c r="K13" i="6"/>
  <c r="E21" i="6" a="1"/>
  <c r="E21" i="6" s="1"/>
  <c r="N21" i="6" s="1"/>
  <c r="E20" i="6" a="1"/>
  <c r="E20" i="6" s="1"/>
  <c r="L21" i="6"/>
  <c r="E16" i="6" a="1"/>
  <c r="E16" i="6" s="1"/>
  <c r="N16" i="6" s="1"/>
  <c r="K21" i="6"/>
  <c r="G81" i="5"/>
  <c r="D7" i="9"/>
  <c r="G11" i="5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F22" i="6" a="1"/>
  <c r="F22" i="6" s="1"/>
  <c r="E22" i="6" a="1"/>
  <c r="E22" i="6" s="1"/>
  <c r="D18" i="9"/>
  <c r="J18" i="9" s="1"/>
  <c r="L29" i="6"/>
  <c r="N29" i="6" s="1"/>
  <c r="H28" i="7" s="1" a="1"/>
  <c r="H28" i="7" s="1"/>
  <c r="K29" i="6"/>
  <c r="M29" i="6" s="1"/>
  <c r="G28" i="7" s="1" a="1"/>
  <c r="G28" i="7" s="1"/>
  <c r="C17" i="7" a="1"/>
  <c r="C17" i="7" s="1"/>
  <c r="L12" i="6"/>
  <c r="P12" i="6" s="1"/>
  <c r="G12" i="9" s="1" a="1"/>
  <c r="G12" i="9" s="1"/>
  <c r="K12" i="6"/>
  <c r="E11" i="6" a="1"/>
  <c r="E11" i="6" s="1"/>
  <c r="F11" i="6" a="1"/>
  <c r="F11" i="6" s="1"/>
  <c r="I30" i="7" a="1"/>
  <c r="I30" i="7" s="1"/>
  <c r="D27" i="7" s="1"/>
  <c r="A30" i="5"/>
  <c r="F29" i="5" a="1"/>
  <c r="F29" i="5" s="1"/>
  <c r="E29" i="5" a="1"/>
  <c r="E29" i="5" s="1"/>
  <c r="D29" i="5" a="1"/>
  <c r="D29" i="5" s="1"/>
  <c r="C29" i="5" a="1"/>
  <c r="C29" i="5" s="1"/>
  <c r="B29" i="5" a="1"/>
  <c r="B29" i="5" s="1"/>
  <c r="H29" i="5" s="1"/>
  <c r="P29" i="6"/>
  <c r="O29" i="6"/>
  <c r="E19" i="6" a="1"/>
  <c r="E19" i="6" s="1"/>
  <c r="F19" i="6" a="1"/>
  <c r="F19" i="6" s="1"/>
  <c r="F14" i="6" a="1"/>
  <c r="F14" i="6" s="1"/>
  <c r="E14" i="6" a="1"/>
  <c r="E14" i="6" s="1"/>
  <c r="L16" i="6"/>
  <c r="K16" i="6"/>
  <c r="P31" i="6"/>
  <c r="O31" i="6"/>
  <c r="E8" i="6" a="1"/>
  <c r="E8" i="6" s="1"/>
  <c r="F8" i="6" a="1"/>
  <c r="F8" i="6" s="1"/>
  <c r="N17" i="6"/>
  <c r="M17" i="6"/>
  <c r="H125" i="6"/>
  <c r="E33" i="6" a="1"/>
  <c r="E33" i="6" s="1"/>
  <c r="F33" i="6" a="1"/>
  <c r="F33" i="6" s="1"/>
  <c r="I32" i="7" s="1" a="1"/>
  <c r="I32" i="7" s="1"/>
  <c r="D29" i="7" s="1"/>
  <c r="M12" i="6"/>
  <c r="F22" i="10"/>
  <c r="F23" i="10" s="1"/>
  <c r="D7" i="8"/>
  <c r="E27" i="6" a="1"/>
  <c r="E27" i="6" s="1"/>
  <c r="F27" i="6" a="1"/>
  <c r="F27" i="6" s="1"/>
  <c r="I21" i="7" s="1" a="1"/>
  <c r="I21" i="7" s="1"/>
  <c r="I28" i="7" a="1"/>
  <c r="I28" i="7" s="1"/>
  <c r="D25" i="7" s="1"/>
  <c r="F26" i="6" a="1"/>
  <c r="F26" i="6" s="1"/>
  <c r="E26" i="6" a="1"/>
  <c r="E26" i="6" s="1"/>
  <c r="E15" i="6" a="1"/>
  <c r="E15" i="6" s="1"/>
  <c r="F15" i="6" a="1"/>
  <c r="F15" i="6" s="1"/>
  <c r="F32" i="6" a="1"/>
  <c r="F32" i="6" s="1"/>
  <c r="E32" i="6" a="1"/>
  <c r="E32" i="6" s="1"/>
  <c r="F28" i="6" a="1"/>
  <c r="F28" i="6" s="1"/>
  <c r="E28" i="6" a="1"/>
  <c r="E28" i="6" s="1"/>
  <c r="D23" i="9"/>
  <c r="J23" i="9" s="1"/>
  <c r="L20" i="6"/>
  <c r="K20" i="6"/>
  <c r="I125" i="6"/>
  <c r="F18" i="6" a="1"/>
  <c r="F18" i="6" s="1"/>
  <c r="E18" i="6" a="1"/>
  <c r="E18" i="6" s="1"/>
  <c r="L9" i="6"/>
  <c r="P9" i="6" s="1"/>
  <c r="G9" i="9" s="1" a="1"/>
  <c r="G9" i="9" s="1"/>
  <c r="K9" i="6"/>
  <c r="O9" i="6" s="1"/>
  <c r="F9" i="9" s="1" a="1"/>
  <c r="F9" i="9" s="1"/>
  <c r="H10" i="5"/>
  <c r="H11" i="5"/>
  <c r="F34" i="6" a="1"/>
  <c r="F34" i="6" s="1"/>
  <c r="E34" i="6" a="1"/>
  <c r="E34" i="6" s="1"/>
  <c r="F26" i="10"/>
  <c r="G125" i="6"/>
  <c r="F10" i="6" a="1"/>
  <c r="F10" i="6" s="1"/>
  <c r="E10" i="6" a="1"/>
  <c r="E10" i="6" s="1"/>
  <c r="J125" i="6"/>
  <c r="E23" i="6" a="1"/>
  <c r="E23" i="6" s="1"/>
  <c r="F23" i="6" a="1"/>
  <c r="F23" i="6" s="1"/>
  <c r="L31" i="6"/>
  <c r="N31" i="6" s="1"/>
  <c r="H30" i="7" s="1" a="1"/>
  <c r="H30" i="7" s="1"/>
  <c r="K31" i="6"/>
  <c r="M31" i="6" s="1"/>
  <c r="F30" i="6" a="1"/>
  <c r="F30" i="6" s="1"/>
  <c r="I29" i="7" s="1" a="1"/>
  <c r="I29" i="7" s="1"/>
  <c r="D26" i="7" s="1"/>
  <c r="E30" i="6" a="1"/>
  <c r="E30" i="6" s="1"/>
  <c r="H9" i="9" a="1"/>
  <c r="H9" i="9" s="1"/>
  <c r="C9" i="7" a="1"/>
  <c r="C9" i="7" s="1"/>
  <c r="L24" i="6"/>
  <c r="K24" i="6"/>
  <c r="N9" i="6"/>
  <c r="M9" i="6"/>
  <c r="L17" i="6" l="1"/>
  <c r="P17" i="6" s="1"/>
  <c r="G20" i="9" s="1" a="1"/>
  <c r="G20" i="9" s="1"/>
  <c r="I19" i="7" a="1"/>
  <c r="I19" i="7" s="1"/>
  <c r="L115" i="6"/>
  <c r="M24" i="6"/>
  <c r="N24" i="6"/>
  <c r="H20" i="9" a="1"/>
  <c r="H20" i="9" s="1"/>
  <c r="I11" i="7" a="1"/>
  <c r="I11" i="7" s="1"/>
  <c r="P13" i="6"/>
  <c r="G13" i="9" s="1" a="1"/>
  <c r="G13" i="9" s="1"/>
  <c r="M13" i="6"/>
  <c r="I34" i="7" a="1"/>
  <c r="I34" i="7" s="1"/>
  <c r="L25" i="6"/>
  <c r="O13" i="6"/>
  <c r="F13" i="9" s="1" a="1"/>
  <c r="F13" i="9" s="1"/>
  <c r="P24" i="6"/>
  <c r="K25" i="6"/>
  <c r="N20" i="6"/>
  <c r="H10" i="7" s="1" a="1"/>
  <c r="H10" i="7" s="1"/>
  <c r="O20" i="6"/>
  <c r="P16" i="6"/>
  <c r="G19" i="9" s="1" a="1"/>
  <c r="G19" i="9" s="1"/>
  <c r="M21" i="6"/>
  <c r="M16" i="6"/>
  <c r="O16" i="6"/>
  <c r="F19" i="9" s="1" a="1"/>
  <c r="F19" i="9" s="1"/>
  <c r="O21" i="6"/>
  <c r="P21" i="6"/>
  <c r="P20" i="6"/>
  <c r="G30" i="7" a="1"/>
  <c r="G30" i="7" s="1"/>
  <c r="R26" i="6"/>
  <c r="L32" i="6"/>
  <c r="N32" i="6" s="1"/>
  <c r="H31" i="7" s="1" a="1"/>
  <c r="H31" i="7" s="1"/>
  <c r="K32" i="6"/>
  <c r="M32" i="6" s="1"/>
  <c r="G31" i="7" s="1" a="1"/>
  <c r="G31" i="7" s="1"/>
  <c r="I31" i="7" a="1"/>
  <c r="I31" i="7" s="1"/>
  <c r="D28" i="7" s="1"/>
  <c r="K11" i="6"/>
  <c r="O11" i="6" s="1"/>
  <c r="F11" i="9" s="1" a="1"/>
  <c r="F11" i="9" s="1"/>
  <c r="L11" i="6"/>
  <c r="P11" i="6" s="1"/>
  <c r="G11" i="9" s="1" a="1"/>
  <c r="G11" i="9" s="1"/>
  <c r="H11" i="9" a="1"/>
  <c r="H11" i="9" s="1"/>
  <c r="R9" i="6"/>
  <c r="N15" i="6"/>
  <c r="M15" i="6"/>
  <c r="P30" i="6"/>
  <c r="O30" i="6"/>
  <c r="R24" i="6"/>
  <c r="K8" i="6"/>
  <c r="O8" i="6" s="1"/>
  <c r="L8" i="6"/>
  <c r="P8" i="6" s="1"/>
  <c r="H8" i="9" a="1"/>
  <c r="H8" i="9" s="1"/>
  <c r="M20" i="6"/>
  <c r="G10" i="7" s="1" a="1"/>
  <c r="G10" i="7" s="1"/>
  <c r="L26" i="6"/>
  <c r="N26" i="6" s="1"/>
  <c r="H20" i="7" s="1" a="1"/>
  <c r="H20" i="7" s="1"/>
  <c r="K26" i="6"/>
  <c r="M26" i="6" s="1"/>
  <c r="G20" i="7" s="1" a="1"/>
  <c r="G20" i="7" s="1"/>
  <c r="L15" i="6"/>
  <c r="P15" i="6" s="1"/>
  <c r="G15" i="9" s="1" a="1"/>
  <c r="G15" i="9" s="1"/>
  <c r="K15" i="6"/>
  <c r="H15" i="9" a="1"/>
  <c r="H15" i="9" s="1"/>
  <c r="N11" i="6"/>
  <c r="M11" i="6"/>
  <c r="L30" i="6"/>
  <c r="N30" i="6" s="1"/>
  <c r="K30" i="6"/>
  <c r="M30" i="6" s="1"/>
  <c r="G29" i="7" s="1" a="1"/>
  <c r="G29" i="7" s="1"/>
  <c r="P34" i="6"/>
  <c r="O34" i="6"/>
  <c r="N18" i="6"/>
  <c r="M18" i="6"/>
  <c r="G34" i="7" s="1" a="1"/>
  <c r="G34" i="7" s="1"/>
  <c r="N8" i="6"/>
  <c r="M8" i="6"/>
  <c r="D9" i="9"/>
  <c r="L22" i="6"/>
  <c r="N22" i="6" s="1"/>
  <c r="K22" i="6"/>
  <c r="M22" i="6" s="1"/>
  <c r="I12" i="7" a="1"/>
  <c r="I12" i="7" s="1"/>
  <c r="L23" i="6"/>
  <c r="N23" i="6" s="1"/>
  <c r="K23" i="6"/>
  <c r="M23" i="6" s="1"/>
  <c r="I13" i="7" a="1"/>
  <c r="I13" i="7" s="1"/>
  <c r="L34" i="6"/>
  <c r="N34" i="6" s="1"/>
  <c r="H33" i="7" s="1" a="1"/>
  <c r="H33" i="7" s="1"/>
  <c r="K34" i="6"/>
  <c r="I33" i="7" a="1"/>
  <c r="I33" i="7" s="1"/>
  <c r="D30" i="7" s="1"/>
  <c r="L18" i="6"/>
  <c r="P18" i="6" s="1"/>
  <c r="G24" i="9" s="1" a="1"/>
  <c r="G24" i="9" s="1"/>
  <c r="K18" i="6"/>
  <c r="H24" i="9" a="1"/>
  <c r="H24" i="9" s="1"/>
  <c r="P28" i="6"/>
  <c r="O28" i="6"/>
  <c r="O12" i="6"/>
  <c r="F12" i="9" s="1" a="1"/>
  <c r="F12" i="9" s="1"/>
  <c r="D12" i="9" s="1"/>
  <c r="G29" i="5"/>
  <c r="L14" i="6"/>
  <c r="P14" i="6" s="1"/>
  <c r="G14" i="9" s="1" a="1"/>
  <c r="G14" i="9" s="1"/>
  <c r="K14" i="6"/>
  <c r="H14" i="9" a="1"/>
  <c r="H14" i="9" s="1"/>
  <c r="E30" i="5" a="1"/>
  <c r="E30" i="5" s="1"/>
  <c r="D30" i="5" a="1"/>
  <c r="D30" i="5" s="1"/>
  <c r="C30" i="5" a="1"/>
  <c r="C30" i="5" s="1"/>
  <c r="A31" i="5"/>
  <c r="B30" i="5" a="1"/>
  <c r="B30" i="5" s="1"/>
  <c r="H30" i="5" s="1"/>
  <c r="F30" i="5" a="1"/>
  <c r="F30" i="5" s="1"/>
  <c r="L19" i="6"/>
  <c r="N19" i="6" s="1"/>
  <c r="K19" i="6"/>
  <c r="N10" i="6"/>
  <c r="M10" i="6"/>
  <c r="L28" i="6"/>
  <c r="N28" i="6" s="1"/>
  <c r="H27" i="7" s="1" a="1"/>
  <c r="H27" i="7" s="1"/>
  <c r="K28" i="6"/>
  <c r="L27" i="6"/>
  <c r="N27" i="6" s="1"/>
  <c r="H21" i="7" s="1" a="1"/>
  <c r="H21" i="7" s="1"/>
  <c r="K27" i="6"/>
  <c r="M27" i="6" s="1"/>
  <c r="G21" i="7" s="1" a="1"/>
  <c r="G21" i="7" s="1"/>
  <c r="I27" i="7" a="1"/>
  <c r="I27" i="7" s="1"/>
  <c r="D24" i="7" s="1"/>
  <c r="O33" i="6"/>
  <c r="P33" i="6"/>
  <c r="I9" i="7" a="1"/>
  <c r="I9" i="7" s="1"/>
  <c r="L10" i="6"/>
  <c r="P10" i="6" s="1"/>
  <c r="G10" i="9" s="1" a="1"/>
  <c r="G10" i="9" s="1"/>
  <c r="K10" i="6"/>
  <c r="O10" i="6" s="1"/>
  <c r="F10" i="9" s="1" a="1"/>
  <c r="F10" i="9" s="1"/>
  <c r="H10" i="9" a="1"/>
  <c r="H10" i="9" s="1"/>
  <c r="P32" i="6"/>
  <c r="O32" i="6"/>
  <c r="P26" i="6"/>
  <c r="O26" i="6"/>
  <c r="P27" i="6"/>
  <c r="O27" i="6"/>
  <c r="L33" i="6"/>
  <c r="N33" i="6" s="1"/>
  <c r="H32" i="7" s="1" a="1"/>
  <c r="H32" i="7" s="1"/>
  <c r="K33" i="6"/>
  <c r="M33" i="6" s="1"/>
  <c r="G32" i="7" s="1" a="1"/>
  <c r="G32" i="7" s="1"/>
  <c r="N14" i="6"/>
  <c r="M14" i="6"/>
  <c r="I20" i="7" a="1"/>
  <c r="I20" i="7" s="1"/>
  <c r="R15" i="6" l="1"/>
  <c r="O18" i="6"/>
  <c r="F24" i="9" s="1" a="1"/>
  <c r="F24" i="9" s="1"/>
  <c r="R16" i="6"/>
  <c r="R19" i="6"/>
  <c r="M19" i="6"/>
  <c r="K28" i="7"/>
  <c r="H11" i="7" a="1"/>
  <c r="H11" i="7" s="1"/>
  <c r="D20" i="9"/>
  <c r="E16" i="12" s="1"/>
  <c r="H29" i="7" a="1"/>
  <c r="H29" i="7" s="1"/>
  <c r="D13" i="9"/>
  <c r="D13" i="12" s="1"/>
  <c r="O23" i="6"/>
  <c r="D10" i="7"/>
  <c r="K8" i="7" s="1"/>
  <c r="R12" i="6"/>
  <c r="H9" i="7" a="1"/>
  <c r="H9" i="7" s="1"/>
  <c r="G11" i="7" a="1"/>
  <c r="G11" i="7" s="1"/>
  <c r="H34" i="7" a="1"/>
  <c r="H34" i="7" s="1"/>
  <c r="P23" i="6"/>
  <c r="G13" i="7" a="1"/>
  <c r="G13" i="7" s="1"/>
  <c r="G14" i="7" a="1"/>
  <c r="G14" i="7" s="1"/>
  <c r="H13" i="7" a="1"/>
  <c r="H13" i="7" s="1"/>
  <c r="M25" i="6"/>
  <c r="O25" i="6"/>
  <c r="G12" i="7" a="1"/>
  <c r="G12" i="7" s="1"/>
  <c r="N25" i="6"/>
  <c r="H19" i="7" s="1" a="1"/>
  <c r="H19" i="7" s="1"/>
  <c r="P25" i="6"/>
  <c r="H12" i="7" a="1"/>
  <c r="H12" i="7" s="1"/>
  <c r="H14" i="7" a="1"/>
  <c r="H14" i="7" s="1"/>
  <c r="G9" i="7" a="1"/>
  <c r="G9" i="7" s="1"/>
  <c r="O22" i="6"/>
  <c r="D19" i="9"/>
  <c r="E15" i="12" s="1"/>
  <c r="K30" i="7"/>
  <c r="P22" i="6"/>
  <c r="P19" i="6"/>
  <c r="O19" i="6"/>
  <c r="D11" i="9"/>
  <c r="D11" i="12" s="1"/>
  <c r="K19" i="7"/>
  <c r="G8" i="9" a="1"/>
  <c r="G8" i="9" s="1"/>
  <c r="M28" i="6"/>
  <c r="G27" i="7" s="1" a="1"/>
  <c r="G27" i="7" s="1"/>
  <c r="R25" i="6"/>
  <c r="D9" i="12"/>
  <c r="J9" i="9"/>
  <c r="R21" i="6"/>
  <c r="D10" i="9"/>
  <c r="O15" i="6"/>
  <c r="F15" i="9" s="1" a="1"/>
  <c r="F15" i="9" s="1"/>
  <c r="D15" i="9" s="1"/>
  <c r="J15" i="9" s="1"/>
  <c r="G8" i="3" s="1"/>
  <c r="R27" i="6"/>
  <c r="G19" i="11"/>
  <c r="K26" i="7"/>
  <c r="D17" i="7"/>
  <c r="K29" i="7"/>
  <c r="O14" i="6"/>
  <c r="F14" i="9" s="1" a="1"/>
  <c r="F14" i="9" s="1"/>
  <c r="D14" i="9" s="1"/>
  <c r="R10" i="6"/>
  <c r="G30" i="5"/>
  <c r="R11" i="6"/>
  <c r="R28" i="6"/>
  <c r="R22" i="6"/>
  <c r="F31" i="5" a="1"/>
  <c r="F31" i="5" s="1"/>
  <c r="D31" i="5" a="1"/>
  <c r="D31" i="5" s="1"/>
  <c r="C31" i="5" a="1"/>
  <c r="C31" i="5" s="1"/>
  <c r="B31" i="5" a="1"/>
  <c r="B31" i="5" s="1"/>
  <c r="H31" i="5" s="1"/>
  <c r="A32" i="5"/>
  <c r="E31" i="5" a="1"/>
  <c r="E31" i="5" s="1"/>
  <c r="F8" i="9" a="1"/>
  <c r="F8" i="9" s="1"/>
  <c r="L125" i="6"/>
  <c r="D12" i="12"/>
  <c r="J12" i="9"/>
  <c r="G5" i="3" s="1"/>
  <c r="M34" i="6"/>
  <c r="G33" i="7" s="1" a="1"/>
  <c r="G33" i="7" s="1"/>
  <c r="K125" i="6"/>
  <c r="R17" i="6" l="1"/>
  <c r="R18" i="6"/>
  <c r="R29" i="6"/>
  <c r="J20" i="9"/>
  <c r="D11" i="7"/>
  <c r="F10" i="11" s="1"/>
  <c r="D9" i="7"/>
  <c r="K7" i="7" s="1"/>
  <c r="D32" i="7"/>
  <c r="K12" i="7"/>
  <c r="J13" i="9"/>
  <c r="G6" i="3" s="1"/>
  <c r="F11" i="11"/>
  <c r="F9" i="11"/>
  <c r="K11" i="7"/>
  <c r="G22" i="11"/>
  <c r="K32" i="7"/>
  <c r="G22" i="3" s="1"/>
  <c r="F13" i="11"/>
  <c r="G19" i="7" a="1"/>
  <c r="G19" i="7" s="1"/>
  <c r="D16" i="7" s="1"/>
  <c r="R20" i="6"/>
  <c r="N125" i="6"/>
  <c r="D21" i="9"/>
  <c r="J21" i="9" s="1"/>
  <c r="J19" i="9"/>
  <c r="G10" i="3" s="1"/>
  <c r="F9" i="10" s="1"/>
  <c r="P125" i="6"/>
  <c r="D8" i="9"/>
  <c r="J8" i="9" s="1"/>
  <c r="J11" i="9"/>
  <c r="G4" i="3" s="1"/>
  <c r="R23" i="6"/>
  <c r="J14" i="9"/>
  <c r="G7" i="3" s="1"/>
  <c r="D14" i="12"/>
  <c r="K18" i="7"/>
  <c r="A33" i="5"/>
  <c r="E32" i="5" a="1"/>
  <c r="E32" i="5" s="1"/>
  <c r="D32" i="5" a="1"/>
  <c r="D32" i="5" s="1"/>
  <c r="C32" i="5" a="1"/>
  <c r="C32" i="5" s="1"/>
  <c r="B32" i="5" a="1"/>
  <c r="B32" i="5" s="1"/>
  <c r="H32" i="5" s="1"/>
  <c r="F32" i="5" a="1"/>
  <c r="F32" i="5" s="1"/>
  <c r="K31" i="7"/>
  <c r="G21" i="11"/>
  <c r="G31" i="5"/>
  <c r="R13" i="6"/>
  <c r="J10" i="9"/>
  <c r="D10" i="12"/>
  <c r="O125" i="6"/>
  <c r="M125" i="6"/>
  <c r="K25" i="7"/>
  <c r="G18" i="11"/>
  <c r="R14" i="6"/>
  <c r="G20" i="11" l="1"/>
  <c r="K27" i="7"/>
  <c r="K9" i="7"/>
  <c r="K10" i="7"/>
  <c r="F8" i="11"/>
  <c r="D13" i="7"/>
  <c r="F7" i="10" s="1"/>
  <c r="F12" i="11"/>
  <c r="N126" i="6"/>
  <c r="D8" i="8" s="1"/>
  <c r="F9" i="8" s="1"/>
  <c r="G16" i="11"/>
  <c r="F15" i="11" s="1"/>
  <c r="K17" i="7"/>
  <c r="G20" i="3" s="1"/>
  <c r="D19" i="7"/>
  <c r="M9" i="7" s="1"/>
  <c r="D8" i="12"/>
  <c r="D6" i="12" s="1"/>
  <c r="D16" i="9"/>
  <c r="G21" i="3"/>
  <c r="F12" i="10" s="1"/>
  <c r="F17" i="11"/>
  <c r="K34" i="7"/>
  <c r="M11" i="7"/>
  <c r="E33" i="5" a="1"/>
  <c r="E33" i="5" s="1"/>
  <c r="A34" i="5"/>
  <c r="C33" i="5" a="1"/>
  <c r="C33" i="5" s="1"/>
  <c r="B33" i="5" a="1"/>
  <c r="B33" i="5" s="1"/>
  <c r="H33" i="5" s="1"/>
  <c r="F33" i="5" a="1"/>
  <c r="F33" i="5" s="1"/>
  <c r="D33" i="5" a="1"/>
  <c r="D33" i="5" s="1"/>
  <c r="G3" i="3"/>
  <c r="O127" i="6"/>
  <c r="P126" i="6"/>
  <c r="P127" i="6" s="1"/>
  <c r="G32" i="5"/>
  <c r="G18" i="3" l="1"/>
  <c r="J7" i="11"/>
  <c r="D33" i="7"/>
  <c r="K22" i="7" s="1"/>
  <c r="M8" i="7"/>
  <c r="M10" i="7" s="1"/>
  <c r="M12" i="7" s="1"/>
  <c r="G14" i="11"/>
  <c r="J8" i="11" s="1"/>
  <c r="K14" i="7"/>
  <c r="L126" i="6"/>
  <c r="K21" i="7"/>
  <c r="F13" i="10"/>
  <c r="F25" i="10" s="1"/>
  <c r="F27" i="10" s="1"/>
  <c r="C34" i="5" a="1"/>
  <c r="C34" i="5" s="1"/>
  <c r="B34" i="5" a="1"/>
  <c r="B34" i="5" s="1"/>
  <c r="H34" i="5" s="1"/>
  <c r="A35" i="5"/>
  <c r="F34" i="5" a="1"/>
  <c r="F34" i="5" s="1"/>
  <c r="E34" i="5" a="1"/>
  <c r="E34" i="5" s="1"/>
  <c r="D34" i="5" a="1"/>
  <c r="D34" i="5" s="1"/>
  <c r="N127" i="6"/>
  <c r="G33" i="5"/>
  <c r="B8" i="8"/>
  <c r="B9" i="8"/>
  <c r="F10" i="8"/>
  <c r="D24" i="9" s="1"/>
  <c r="J9" i="11" l="1"/>
  <c r="F23" i="11" s="1"/>
  <c r="G24" i="11" s="1"/>
  <c r="G6" i="11" s="1"/>
  <c r="D95" i="7"/>
  <c r="B95" i="7" s="1"/>
  <c r="D25" i="9"/>
  <c r="D27" i="9" s="1"/>
  <c r="J24" i="9"/>
  <c r="G17" i="3" s="1"/>
  <c r="E17" i="12"/>
  <c r="E6" i="12" s="1"/>
  <c r="D35" i="5" a="1"/>
  <c r="D35" i="5" s="1"/>
  <c r="E35" i="5" a="1"/>
  <c r="E35" i="5" s="1"/>
  <c r="C35" i="5" a="1"/>
  <c r="C35" i="5" s="1"/>
  <c r="B35" i="5" a="1"/>
  <c r="B35" i="5" s="1"/>
  <c r="H35" i="5" s="1"/>
  <c r="A36" i="5"/>
  <c r="F35" i="5" a="1"/>
  <c r="F35" i="5" s="1"/>
  <c r="G34" i="5"/>
  <c r="K36" i="7" l="1"/>
  <c r="F6" i="11"/>
  <c r="G35" i="5"/>
  <c r="A37" i="5"/>
  <c r="C36" i="5" a="1"/>
  <c r="C36" i="5" s="1"/>
  <c r="B36" i="5" a="1"/>
  <c r="B36" i="5" s="1"/>
  <c r="H36" i="5" s="1"/>
  <c r="E36" i="5" a="1"/>
  <c r="E36" i="5" s="1"/>
  <c r="D36" i="5" a="1"/>
  <c r="D36" i="5" s="1"/>
  <c r="F36" i="5" a="1"/>
  <c r="F36" i="5" s="1"/>
  <c r="C37" i="5" l="1" a="1"/>
  <c r="C37" i="5" s="1"/>
  <c r="E37" i="5" a="1"/>
  <c r="E37" i="5" s="1"/>
  <c r="D37" i="5" a="1"/>
  <c r="D37" i="5" s="1"/>
  <c r="B37" i="5" a="1"/>
  <c r="B37" i="5" s="1"/>
  <c r="H37" i="5" s="1"/>
  <c r="A38" i="5"/>
  <c r="F37" i="5" a="1"/>
  <c r="F37" i="5" s="1"/>
  <c r="G36" i="5"/>
  <c r="F38" i="5" l="1" a="1"/>
  <c r="F38" i="5" s="1"/>
  <c r="E38" i="5" a="1"/>
  <c r="E38" i="5" s="1"/>
  <c r="D38" i="5" a="1"/>
  <c r="D38" i="5" s="1"/>
  <c r="C38" i="5" a="1"/>
  <c r="C38" i="5" s="1"/>
  <c r="B38" i="5" a="1"/>
  <c r="B38" i="5" s="1"/>
  <c r="H38" i="5" s="1"/>
  <c r="A39" i="5"/>
  <c r="G37" i="5"/>
  <c r="G38" i="5" l="1"/>
  <c r="F39" i="5" a="1"/>
  <c r="F39" i="5" s="1"/>
  <c r="B39" i="5" a="1"/>
  <c r="B39" i="5" s="1"/>
  <c r="H39" i="5" s="1"/>
  <c r="E39" i="5" a="1"/>
  <c r="E39" i="5" s="1"/>
  <c r="D39" i="5" a="1"/>
  <c r="D39" i="5" s="1"/>
  <c r="C39" i="5" a="1"/>
  <c r="C39" i="5" s="1"/>
  <c r="A40" i="5"/>
  <c r="A41" i="5" l="1"/>
  <c r="C40" i="5" a="1"/>
  <c r="C40" i="5" s="1"/>
  <c r="B40" i="5" a="1"/>
  <c r="B40" i="5" s="1"/>
  <c r="H40" i="5" s="1"/>
  <c r="F40" i="5" a="1"/>
  <c r="F40" i="5" s="1"/>
  <c r="E40" i="5" a="1"/>
  <c r="E40" i="5" s="1"/>
  <c r="D40" i="5" a="1"/>
  <c r="D40" i="5" s="1"/>
  <c r="G39" i="5"/>
  <c r="G40" i="5" l="1"/>
  <c r="E41" i="5" a="1"/>
  <c r="E41" i="5" s="1"/>
  <c r="F41" i="5" a="1"/>
  <c r="F41" i="5" s="1"/>
  <c r="A42" i="5"/>
  <c r="D41" i="5" a="1"/>
  <c r="D41" i="5" s="1"/>
  <c r="C41" i="5" a="1"/>
  <c r="C41" i="5" s="1"/>
  <c r="B41" i="5" a="1"/>
  <c r="B41" i="5" s="1"/>
  <c r="H41" i="5" s="1"/>
  <c r="E42" i="5" l="1" a="1"/>
  <c r="E42" i="5" s="1"/>
  <c r="D42" i="5" a="1"/>
  <c r="D42" i="5" s="1"/>
  <c r="A43" i="5"/>
  <c r="C42" i="5" a="1"/>
  <c r="C42" i="5" s="1"/>
  <c r="F42" i="5" a="1"/>
  <c r="F42" i="5" s="1"/>
  <c r="B42" i="5" a="1"/>
  <c r="B42" i="5" s="1"/>
  <c r="H42" i="5" s="1"/>
  <c r="G41" i="5"/>
  <c r="D43" i="5" l="1" a="1"/>
  <c r="D43" i="5" s="1"/>
  <c r="A44" i="5"/>
  <c r="C43" i="5" a="1"/>
  <c r="C43" i="5" s="1"/>
  <c r="B43" i="5" a="1"/>
  <c r="B43" i="5" s="1"/>
  <c r="H43" i="5" s="1"/>
  <c r="F43" i="5" a="1"/>
  <c r="F43" i="5" s="1"/>
  <c r="E43" i="5" a="1"/>
  <c r="E43" i="5" s="1"/>
  <c r="G42" i="5"/>
  <c r="F44" i="5" l="1" a="1"/>
  <c r="F44" i="5" s="1"/>
  <c r="C44" i="5" a="1"/>
  <c r="C44" i="5" s="1"/>
  <c r="B44" i="5" a="1"/>
  <c r="B44" i="5" s="1"/>
  <c r="H44" i="5" s="1"/>
  <c r="A45" i="5"/>
  <c r="E44" i="5" a="1"/>
  <c r="E44" i="5" s="1"/>
  <c r="D44" i="5" a="1"/>
  <c r="D44" i="5" s="1"/>
  <c r="G43" i="5"/>
  <c r="G44" i="5" l="1"/>
  <c r="C45" i="5" a="1"/>
  <c r="C45" i="5" s="1"/>
  <c r="D45" i="5" a="1"/>
  <c r="D45" i="5" s="1"/>
  <c r="A46" i="5"/>
  <c r="F45" i="5" a="1"/>
  <c r="F45" i="5" s="1"/>
  <c r="B45" i="5" a="1"/>
  <c r="B45" i="5" s="1"/>
  <c r="H45" i="5" s="1"/>
  <c r="E45" i="5" a="1"/>
  <c r="E45" i="5" s="1"/>
  <c r="B46" i="5" l="1" a="1"/>
  <c r="B46" i="5" s="1"/>
  <c r="H46" i="5" s="1"/>
  <c r="D46" i="5" a="1"/>
  <c r="D46" i="5" s="1"/>
  <c r="E46" i="5" a="1"/>
  <c r="E46" i="5" s="1"/>
  <c r="C46" i="5" a="1"/>
  <c r="C46" i="5" s="1"/>
  <c r="A47" i="5"/>
  <c r="F46" i="5" a="1"/>
  <c r="F46" i="5" s="1"/>
  <c r="G45" i="5"/>
  <c r="F47" i="5" l="1" a="1"/>
  <c r="F47" i="5" s="1"/>
  <c r="B47" i="5" a="1"/>
  <c r="B47" i="5" s="1"/>
  <c r="H47" i="5" s="1"/>
  <c r="A48" i="5"/>
  <c r="C47" i="5" a="1"/>
  <c r="C47" i="5" s="1"/>
  <c r="E47" i="5" a="1"/>
  <c r="E47" i="5" s="1"/>
  <c r="D47" i="5" a="1"/>
  <c r="D47" i="5" s="1"/>
  <c r="G46" i="5"/>
  <c r="A49" i="5" l="1"/>
  <c r="F48" i="5" a="1"/>
  <c r="F48" i="5" s="1"/>
  <c r="E48" i="5" a="1"/>
  <c r="E48" i="5" s="1"/>
  <c r="D48" i="5" a="1"/>
  <c r="D48" i="5" s="1"/>
  <c r="C48" i="5" a="1"/>
  <c r="C48" i="5" s="1"/>
  <c r="B48" i="5" a="1"/>
  <c r="B48" i="5" s="1"/>
  <c r="H48" i="5" s="1"/>
  <c r="G47" i="5"/>
  <c r="G48" i="5" l="1"/>
  <c r="E49" i="5" a="1"/>
  <c r="E49" i="5" s="1"/>
  <c r="D49" i="5" a="1"/>
  <c r="D49" i="5" s="1"/>
  <c r="A50" i="5"/>
  <c r="C49" i="5" a="1"/>
  <c r="C49" i="5" s="1"/>
  <c r="B49" i="5" a="1"/>
  <c r="B49" i="5" s="1"/>
  <c r="H49" i="5" s="1"/>
  <c r="F49" i="5" a="1"/>
  <c r="F49" i="5" s="1"/>
  <c r="G49" i="5" l="1"/>
  <c r="B50" i="5" a="1"/>
  <c r="B50" i="5" s="1"/>
  <c r="H50" i="5" s="1"/>
  <c r="F50" i="5" a="1"/>
  <c r="F50" i="5" s="1"/>
  <c r="E50" i="5" a="1"/>
  <c r="E50" i="5" s="1"/>
  <c r="D50" i="5" a="1"/>
  <c r="D50" i="5" s="1"/>
  <c r="C50" i="5" a="1"/>
  <c r="C50" i="5" s="1"/>
  <c r="A51" i="5"/>
  <c r="G50" i="5" l="1"/>
  <c r="D51" i="5" a="1"/>
  <c r="D51" i="5" s="1"/>
  <c r="F51" i="5" a="1"/>
  <c r="F51" i="5" s="1"/>
  <c r="E51" i="5" a="1"/>
  <c r="E51" i="5" s="1"/>
  <c r="A52" i="5"/>
  <c r="C51" i="5" a="1"/>
  <c r="C51" i="5" s="1"/>
  <c r="B51" i="5" a="1"/>
  <c r="B51" i="5" s="1"/>
  <c r="H51" i="5" s="1"/>
  <c r="G51" i="5" l="1"/>
  <c r="D52" i="5" a="1"/>
  <c r="D52" i="5" s="1"/>
  <c r="A53" i="5"/>
  <c r="C52" i="5" a="1"/>
  <c r="C52" i="5" s="1"/>
  <c r="B52" i="5" a="1"/>
  <c r="B52" i="5" s="1"/>
  <c r="H52" i="5" s="1"/>
  <c r="F52" i="5" a="1"/>
  <c r="F52" i="5" s="1"/>
  <c r="E52" i="5" a="1"/>
  <c r="E52" i="5" s="1"/>
  <c r="G52" i="5" l="1"/>
  <c r="C53" i="5" a="1"/>
  <c r="C53" i="5" s="1"/>
  <c r="B53" i="5" a="1"/>
  <c r="B53" i="5" s="1"/>
  <c r="H53" i="5" s="1"/>
  <c r="E53" i="5" a="1"/>
  <c r="E53" i="5" s="1"/>
  <c r="D53" i="5" a="1"/>
  <c r="D53" i="5" s="1"/>
  <c r="A54" i="5"/>
  <c r="F53" i="5" a="1"/>
  <c r="F53" i="5" s="1"/>
  <c r="G53" i="5" l="1"/>
  <c r="E54" i="5" a="1"/>
  <c r="E54" i="5" s="1"/>
  <c r="A55" i="5"/>
  <c r="C54" i="5" a="1"/>
  <c r="C54" i="5" s="1"/>
  <c r="F54" i="5" a="1"/>
  <c r="F54" i="5" s="1"/>
  <c r="D54" i="5" a="1"/>
  <c r="D54" i="5" s="1"/>
  <c r="B54" i="5" a="1"/>
  <c r="B54" i="5" s="1"/>
  <c r="H54" i="5" s="1"/>
  <c r="G54" i="5" l="1"/>
  <c r="F55" i="5" a="1"/>
  <c r="F55" i="5" s="1"/>
  <c r="B55" i="5" a="1"/>
  <c r="B55" i="5" s="1"/>
  <c r="H55" i="5" s="1"/>
  <c r="A56" i="5"/>
  <c r="E55" i="5" a="1"/>
  <c r="E55" i="5" s="1"/>
  <c r="D55" i="5" a="1"/>
  <c r="D55" i="5" s="1"/>
  <c r="C55" i="5" a="1"/>
  <c r="C55" i="5" s="1"/>
  <c r="G55" i="5" l="1"/>
  <c r="D56" i="5" a="1"/>
  <c r="D56" i="5" s="1"/>
  <c r="A57" i="5"/>
  <c r="B56" i="5" a="1"/>
  <c r="B56" i="5" s="1"/>
  <c r="H56" i="5" s="1"/>
  <c r="F56" i="5" a="1"/>
  <c r="F56" i="5" s="1"/>
  <c r="E56" i="5" a="1"/>
  <c r="E56" i="5" s="1"/>
  <c r="C56" i="5" a="1"/>
  <c r="C56" i="5" s="1"/>
  <c r="G56" i="5" l="1"/>
  <c r="E57" i="5" a="1"/>
  <c r="E57" i="5" s="1"/>
  <c r="D57" i="5" a="1"/>
  <c r="D57" i="5" s="1"/>
  <c r="A58" i="5"/>
  <c r="F57" i="5" a="1"/>
  <c r="F57" i="5" s="1"/>
  <c r="C57" i="5" a="1"/>
  <c r="C57" i="5" s="1"/>
  <c r="B57" i="5" a="1"/>
  <c r="B57" i="5" s="1"/>
  <c r="H57" i="5" s="1"/>
  <c r="G57" i="5" l="1"/>
  <c r="C58" i="5" a="1"/>
  <c r="C58" i="5" s="1"/>
  <c r="F58" i="5" a="1"/>
  <c r="F58" i="5" s="1"/>
  <c r="D58" i="5" a="1"/>
  <c r="D58" i="5" s="1"/>
  <c r="B58" i="5" a="1"/>
  <c r="B58" i="5" s="1"/>
  <c r="H58" i="5" s="1"/>
  <c r="A59" i="5"/>
  <c r="E58" i="5" a="1"/>
  <c r="E58" i="5" s="1"/>
  <c r="G58" i="5" l="1"/>
  <c r="D59" i="5" a="1"/>
  <c r="D59" i="5" s="1"/>
  <c r="C59" i="5" a="1"/>
  <c r="C59" i="5" s="1"/>
  <c r="F59" i="5" a="1"/>
  <c r="F59" i="5" s="1"/>
  <c r="E59" i="5" a="1"/>
  <c r="E59" i="5" s="1"/>
  <c r="A60" i="5"/>
  <c r="B59" i="5" a="1"/>
  <c r="B59" i="5" s="1"/>
  <c r="H59" i="5" s="1"/>
  <c r="G59" i="5" l="1"/>
  <c r="F60" i="5" a="1"/>
  <c r="F60" i="5" s="1"/>
  <c r="B60" i="5" a="1"/>
  <c r="B60" i="5" s="1"/>
  <c r="H60" i="5" s="1"/>
  <c r="D60" i="5" a="1"/>
  <c r="D60" i="5" s="1"/>
  <c r="C60" i="5" a="1"/>
  <c r="C60" i="5" s="1"/>
  <c r="A61" i="5"/>
  <c r="E60" i="5" a="1"/>
  <c r="E60" i="5" s="1"/>
  <c r="G60" i="5" l="1"/>
  <c r="A62" i="5"/>
  <c r="C61" i="5" a="1"/>
  <c r="C61" i="5" s="1"/>
  <c r="F61" i="5" a="1"/>
  <c r="F61" i="5" s="1"/>
  <c r="B61" i="5" a="1"/>
  <c r="B61" i="5" s="1"/>
  <c r="H61" i="5" s="1"/>
  <c r="D61" i="5" a="1"/>
  <c r="D61" i="5" s="1"/>
  <c r="E61" i="5" a="1"/>
  <c r="E61" i="5" s="1"/>
  <c r="G61" i="5" l="1"/>
  <c r="E62" i="5" a="1"/>
  <c r="E62" i="5" s="1"/>
  <c r="A63" i="5"/>
  <c r="F62" i="5" a="1"/>
  <c r="F62" i="5" s="1"/>
  <c r="D62" i="5" a="1"/>
  <c r="D62" i="5" s="1"/>
  <c r="C62" i="5" a="1"/>
  <c r="C62" i="5" s="1"/>
  <c r="B62" i="5" a="1"/>
  <c r="B62" i="5" s="1"/>
  <c r="H62" i="5" s="1"/>
  <c r="G62" i="5" l="1"/>
  <c r="F63" i="5" a="1"/>
  <c r="F63" i="5" s="1"/>
  <c r="B63" i="5" a="1"/>
  <c r="B63" i="5" s="1"/>
  <c r="H63" i="5" s="1"/>
  <c r="E63" i="5" a="1"/>
  <c r="E63" i="5" s="1"/>
  <c r="D63" i="5" a="1"/>
  <c r="D63" i="5" s="1"/>
  <c r="C63" i="5" a="1"/>
  <c r="C63" i="5" s="1"/>
  <c r="A64" i="5"/>
  <c r="G63" i="5" l="1"/>
  <c r="D64" i="5" a="1"/>
  <c r="D64" i="5" s="1"/>
  <c r="A65" i="5"/>
  <c r="C64" i="5" a="1"/>
  <c r="C64" i="5" s="1"/>
  <c r="B64" i="5" a="1"/>
  <c r="B64" i="5" s="1"/>
  <c r="H64" i="5" s="1"/>
  <c r="F64" i="5" a="1"/>
  <c r="F64" i="5" s="1"/>
  <c r="E64" i="5" a="1"/>
  <c r="E64" i="5" s="1"/>
  <c r="G64" i="5" l="1"/>
  <c r="E65" i="5" a="1"/>
  <c r="E65" i="5" s="1"/>
  <c r="D65" i="5" a="1"/>
  <c r="D65" i="5" s="1"/>
  <c r="F65" i="5" a="1"/>
  <c r="F65" i="5" s="1"/>
  <c r="C65" i="5" a="1"/>
  <c r="C65" i="5" s="1"/>
  <c r="A66" i="5"/>
  <c r="B65" i="5" a="1"/>
  <c r="B65" i="5" s="1"/>
  <c r="H65" i="5" s="1"/>
  <c r="G65" i="5" l="1"/>
  <c r="C66" i="5" a="1"/>
  <c r="C66" i="5" s="1"/>
  <c r="E66" i="5" a="1"/>
  <c r="E66" i="5" s="1"/>
  <c r="D66" i="5" a="1"/>
  <c r="D66" i="5" s="1"/>
  <c r="B66" i="5" a="1"/>
  <c r="B66" i="5" s="1"/>
  <c r="H66" i="5" s="1"/>
  <c r="A67" i="5"/>
  <c r="F66" i="5" a="1"/>
  <c r="F66" i="5" s="1"/>
  <c r="G66" i="5" l="1"/>
  <c r="D67" i="5" a="1"/>
  <c r="D67" i="5" s="1"/>
  <c r="C67" i="5" a="1"/>
  <c r="C67" i="5" s="1"/>
  <c r="B67" i="5" a="1"/>
  <c r="B67" i="5" s="1"/>
  <c r="H67" i="5" s="1"/>
  <c r="A68" i="5"/>
  <c r="F67" i="5" a="1"/>
  <c r="F67" i="5" s="1"/>
  <c r="E67" i="5" a="1"/>
  <c r="E67" i="5" s="1"/>
  <c r="G67" i="5" l="1"/>
  <c r="F68" i="5" a="1"/>
  <c r="F68" i="5" s="1"/>
  <c r="B68" i="5" a="1"/>
  <c r="B68" i="5" s="1"/>
  <c r="H68" i="5" s="1"/>
  <c r="E68" i="5" a="1"/>
  <c r="E68" i="5" s="1"/>
  <c r="C68" i="5" a="1"/>
  <c r="C68" i="5" s="1"/>
  <c r="A69" i="5"/>
  <c r="D68" i="5" a="1"/>
  <c r="D68" i="5" s="1"/>
  <c r="G68" i="5" l="1"/>
  <c r="A70" i="5"/>
  <c r="C69" i="5" a="1"/>
  <c r="C69" i="5" s="1"/>
  <c r="F69" i="5" a="1"/>
  <c r="F69" i="5" s="1"/>
  <c r="B69" i="5" a="1"/>
  <c r="B69" i="5" s="1"/>
  <c r="H69" i="5" s="1"/>
  <c r="E69" i="5" a="1"/>
  <c r="E69" i="5" s="1"/>
  <c r="D69" i="5" a="1"/>
  <c r="D69" i="5" s="1"/>
  <c r="G69" i="5" l="1"/>
  <c r="E70" i="5" a="1"/>
  <c r="E70" i="5" s="1"/>
  <c r="A71" i="5"/>
  <c r="C70" i="5" a="1"/>
  <c r="C70" i="5" s="1"/>
  <c r="B70" i="5" a="1"/>
  <c r="B70" i="5" s="1"/>
  <c r="H70" i="5" s="1"/>
  <c r="F70" i="5" a="1"/>
  <c r="F70" i="5" s="1"/>
  <c r="D70" i="5" a="1"/>
  <c r="D70" i="5" s="1"/>
  <c r="G70" i="5" l="1"/>
  <c r="F71" i="5" a="1"/>
  <c r="F71" i="5" s="1"/>
  <c r="B71" i="5" a="1"/>
  <c r="B71" i="5" s="1"/>
  <c r="H71" i="5" s="1"/>
  <c r="E71" i="5" a="1"/>
  <c r="E71" i="5" s="1"/>
  <c r="C71" i="5" a="1"/>
  <c r="C71" i="5" s="1"/>
  <c r="A72" i="5"/>
  <c r="D71" i="5" a="1"/>
  <c r="D71" i="5" s="1"/>
  <c r="G71" i="5" l="1"/>
  <c r="D72" i="5" a="1"/>
  <c r="D72" i="5" s="1"/>
  <c r="A73" i="5"/>
  <c r="E72" i="5" a="1"/>
  <c r="E72" i="5" s="1"/>
  <c r="C72" i="5" a="1"/>
  <c r="C72" i="5" s="1"/>
  <c r="B72" i="5" a="1"/>
  <c r="B72" i="5" s="1"/>
  <c r="H72" i="5" s="1"/>
  <c r="F72" i="5" a="1"/>
  <c r="F72" i="5" s="1"/>
  <c r="G72" i="5" l="1"/>
  <c r="E73" i="5" a="1"/>
  <c r="E73" i="5" s="1"/>
  <c r="D73" i="5" a="1"/>
  <c r="D73" i="5" s="1"/>
  <c r="C73" i="5" a="1"/>
  <c r="C73" i="5" s="1"/>
  <c r="B73" i="5" a="1"/>
  <c r="B73" i="5" s="1"/>
  <c r="H73" i="5" s="1"/>
  <c r="F73" i="5" a="1"/>
  <c r="F73" i="5" s="1"/>
  <c r="G7" i="5" l="1"/>
  <c r="G73" i="5"/>
</calcChain>
</file>

<file path=xl/sharedStrings.xml><?xml version="1.0" encoding="utf-8"?>
<sst xmlns="http://schemas.openxmlformats.org/spreadsheetml/2006/main" count="1836" uniqueCount="679">
  <si>
    <t xml:space="preserve">Pencatatan dan Pelaporan Akuntansi Keuangan </t>
  </si>
  <si>
    <t>DAFTAR AKUN</t>
  </si>
  <si>
    <t xml:space="preserve">Kode Akun </t>
  </si>
  <si>
    <t>Nama Akun</t>
  </si>
  <si>
    <t>Type</t>
  </si>
  <si>
    <t>Debet</t>
  </si>
  <si>
    <t>Kredit</t>
  </si>
  <si>
    <t>SN</t>
  </si>
  <si>
    <t>POS</t>
  </si>
  <si>
    <t>Kas</t>
  </si>
  <si>
    <t>Kas Di Bank</t>
  </si>
  <si>
    <t>Petty Cash</t>
  </si>
  <si>
    <t>Piutang</t>
  </si>
  <si>
    <t>Persediaan</t>
  </si>
  <si>
    <t>Perlengkapan</t>
  </si>
  <si>
    <t>Peralatan</t>
  </si>
  <si>
    <t>Akumulasi Penyusutan Peralatan</t>
  </si>
  <si>
    <t>Utang</t>
  </si>
  <si>
    <t>Utang Gaji</t>
  </si>
  <si>
    <t>Modal</t>
  </si>
  <si>
    <t>Iktisar laba rugi</t>
  </si>
  <si>
    <t>Arus kas</t>
  </si>
  <si>
    <t>TYPE Akun</t>
  </si>
  <si>
    <t>Saldo Normal</t>
  </si>
  <si>
    <t>Posisi</t>
  </si>
  <si>
    <t>Neraca</t>
  </si>
  <si>
    <t>KAS DAN BANK</t>
  </si>
  <si>
    <t>AKUN PIUTANG</t>
  </si>
  <si>
    <t>PERSEDIAAN</t>
  </si>
  <si>
    <t>AKTIVA LANCAR LAINNYA</t>
  </si>
  <si>
    <t>AKTIVA TETAP</t>
  </si>
  <si>
    <t>DEPRESIASI DAN AMORTISASI</t>
  </si>
  <si>
    <t>AKTIVA LAINNYA</t>
  </si>
  <si>
    <t>AKUN UTANG</t>
  </si>
  <si>
    <t>KEWAJIBAN LANCAR LAINNYA</t>
  </si>
  <si>
    <t>KEWAJIBAN JANGKA PANJANG</t>
  </si>
  <si>
    <t>EKUITAS</t>
  </si>
  <si>
    <t>PENDAPATAN</t>
  </si>
  <si>
    <t>Laba Rugi</t>
  </si>
  <si>
    <t>PENDAPATAN LAINNYA</t>
  </si>
  <si>
    <t>Pembelian</t>
  </si>
  <si>
    <t xml:space="preserve">BEBAN </t>
  </si>
  <si>
    <t>BEBAN LAINNYA</t>
  </si>
  <si>
    <t>FORM Jurnal</t>
  </si>
  <si>
    <t>Tanggal</t>
  </si>
  <si>
    <t>Ref</t>
  </si>
  <si>
    <t>Keterangan</t>
  </si>
  <si>
    <t>Kode Akun</t>
  </si>
  <si>
    <t xml:space="preserve">Debet </t>
  </si>
  <si>
    <t>KB BB</t>
  </si>
  <si>
    <t>AKUN</t>
  </si>
  <si>
    <t>BUKU BESAR</t>
  </si>
  <si>
    <t>PERIODE</t>
  </si>
  <si>
    <t>KODE AKUN</t>
  </si>
  <si>
    <t>SALDO AWAL</t>
  </si>
  <si>
    <t>NAMA AKUN</t>
  </si>
  <si>
    <t>SALDO AKHIR</t>
  </si>
  <si>
    <t>REF</t>
  </si>
  <si>
    <t>Saldo</t>
  </si>
  <si>
    <t>FILTER</t>
  </si>
  <si>
    <t>beban</t>
  </si>
  <si>
    <t>persediaan</t>
  </si>
  <si>
    <t>piutang</t>
  </si>
  <si>
    <t>pendapatan</t>
  </si>
  <si>
    <t>peralatan</t>
  </si>
  <si>
    <t>perlengkapan</t>
  </si>
  <si>
    <t xml:space="preserve">NERACA LAJUR  </t>
  </si>
  <si>
    <t xml:space="preserve">KODE </t>
  </si>
  <si>
    <t xml:space="preserve">NAMA AKUN </t>
  </si>
  <si>
    <t xml:space="preserve">SALDO AWAL </t>
  </si>
  <si>
    <t>PERGERAKAN</t>
  </si>
  <si>
    <t xml:space="preserve">SALDO AKHIR </t>
  </si>
  <si>
    <t xml:space="preserve">LABA RUGI </t>
  </si>
  <si>
    <t xml:space="preserve">NERACA </t>
  </si>
  <si>
    <t>DEBET</t>
  </si>
  <si>
    <t xml:space="preserve">KREDIT </t>
  </si>
  <si>
    <t xml:space="preserve">DEBET </t>
  </si>
  <si>
    <t>KREDIT</t>
  </si>
  <si>
    <t>TOTAL</t>
  </si>
  <si>
    <t>KETERANGAN</t>
  </si>
  <si>
    <t>SALDO</t>
  </si>
  <si>
    <t>KB DEBET</t>
  </si>
  <si>
    <t xml:space="preserve">KB KREDIT </t>
  </si>
  <si>
    <t>Total Pendapatan</t>
  </si>
  <si>
    <t>Total Pembelian</t>
  </si>
  <si>
    <t>Laba Kotor</t>
  </si>
  <si>
    <t>Total Biaya Operasional</t>
  </si>
  <si>
    <t>Laba Bersih</t>
  </si>
  <si>
    <t>TOTAL PENDAPATAN</t>
  </si>
  <si>
    <t>LABA KOTOR</t>
  </si>
  <si>
    <t xml:space="preserve">TOTAL BIAYA OPERASIONAL </t>
  </si>
  <si>
    <t xml:space="preserve">LAPORAN PERUBAHAN EKUITAS </t>
  </si>
  <si>
    <t xml:space="preserve">Modal Awal </t>
  </si>
  <si>
    <t>Penurunan Modal</t>
  </si>
  <si>
    <t xml:space="preserve">Modal Akhir </t>
  </si>
  <si>
    <t>NERACA</t>
  </si>
  <si>
    <t>KODE</t>
  </si>
  <si>
    <t>ASET</t>
  </si>
  <si>
    <t>TOTAL ASET</t>
  </si>
  <si>
    <t>KEWAJIBAN</t>
  </si>
  <si>
    <t>TOTAL KEWAJIBAN</t>
  </si>
  <si>
    <t>MODAL</t>
  </si>
  <si>
    <t>TOTAL MODAL</t>
  </si>
  <si>
    <t>TOTAL KEWAJIBAN DAN MODAL</t>
  </si>
  <si>
    <t xml:space="preserve">LAPORAN ARUS KAS </t>
  </si>
  <si>
    <t>Aktivitas Operasional</t>
  </si>
  <si>
    <t>Penerimaan dari pelanggan</t>
  </si>
  <si>
    <t>Aset lancar lainnya</t>
  </si>
  <si>
    <t>Pembayaraan ke pemasok</t>
  </si>
  <si>
    <t>Liabilitas jangka pendek</t>
  </si>
  <si>
    <t>Pendapatan lainnya</t>
  </si>
  <si>
    <t>Pengeluaran operasional</t>
  </si>
  <si>
    <t>Kas bersih yang diperoleh dari Aktifitas Operasional</t>
  </si>
  <si>
    <t>Aktivitas Investasi</t>
  </si>
  <si>
    <t>Perolehan/Penjualan aset</t>
  </si>
  <si>
    <t>Aktivitas Investasi lainnya</t>
  </si>
  <si>
    <t>Kas bersih yang diperoleh dari Aktivitas Investasi</t>
  </si>
  <si>
    <t>Aktivitas Pendanaan</t>
  </si>
  <si>
    <t>Pembayaran/Penerimaan pinjaman</t>
  </si>
  <si>
    <t xml:space="preserve">Ekuitas/Modal </t>
  </si>
  <si>
    <t>Kas bersih yang diperoleh dari Aktivitas Pendanaan</t>
  </si>
  <si>
    <t>Kenaikan (penurunan) kas</t>
  </si>
  <si>
    <t>Saldo kas awal</t>
  </si>
  <si>
    <t>Saldo kas akhir</t>
  </si>
  <si>
    <t>Jurnal Penutup</t>
  </si>
  <si>
    <t>DEBET IKHTISAR</t>
  </si>
  <si>
    <t>KREDIT IKHTISAR</t>
  </si>
  <si>
    <t>Neraca Saldo Setelah Penutup</t>
  </si>
  <si>
    <t>utang pdam</t>
  </si>
  <si>
    <t>40.00.00.00</t>
  </si>
  <si>
    <t>41.00.00.00</t>
  </si>
  <si>
    <t>50.00.00.00</t>
  </si>
  <si>
    <t>BEBAN POKOK PENJUALAN</t>
  </si>
  <si>
    <t>50.01.00.00</t>
  </si>
  <si>
    <t>50.02.00.00</t>
  </si>
  <si>
    <t>HPP General</t>
  </si>
  <si>
    <t>50.03.00.00</t>
  </si>
  <si>
    <t>HPP Upper</t>
  </si>
  <si>
    <t>50.04.00.00</t>
  </si>
  <si>
    <t>50.05.00.00</t>
  </si>
  <si>
    <t>HPP vibram</t>
  </si>
  <si>
    <t>51.00.00.00</t>
  </si>
  <si>
    <t>BEBAN GAJI, THR &amp; BONUS</t>
  </si>
  <si>
    <t>51.01.00.00</t>
  </si>
  <si>
    <t>Gaji karyawan</t>
  </si>
  <si>
    <t>51.03.00.00</t>
  </si>
  <si>
    <t>51.04.00.00</t>
  </si>
  <si>
    <t>51.05.00.00</t>
  </si>
  <si>
    <t>51.13.00.00</t>
  </si>
  <si>
    <t>Bonus CS</t>
  </si>
  <si>
    <t>52.00.00.00</t>
  </si>
  <si>
    <t>BEBAN INTERNAL</t>
  </si>
  <si>
    <t>52.01.00.00</t>
  </si>
  <si>
    <t>52.02.00.00</t>
  </si>
  <si>
    <t>Operasional Reguler</t>
  </si>
  <si>
    <t>Konsumsi lembur &amp; Meeting</t>
  </si>
  <si>
    <t>53.00.00.00</t>
  </si>
  <si>
    <t>BEBAN EKSPEDISI &amp; PACKAGING</t>
  </si>
  <si>
    <t>53.10.00.00</t>
  </si>
  <si>
    <t>Ekspedisi &amp; Ongkir</t>
  </si>
  <si>
    <t>53.20.00.00</t>
  </si>
  <si>
    <t>Packaging</t>
  </si>
  <si>
    <t>54.00.00.00</t>
  </si>
  <si>
    <t>54.01.00.00</t>
  </si>
  <si>
    <t>54.02.00.00</t>
  </si>
  <si>
    <t>54.03.00.00</t>
  </si>
  <si>
    <t>54.04.00.00</t>
  </si>
  <si>
    <t>BEBAN MARKETING</t>
  </si>
  <si>
    <t>54.10.00.00</t>
  </si>
  <si>
    <t>ADS</t>
  </si>
  <si>
    <t>54.20.00.00</t>
  </si>
  <si>
    <t>WA API</t>
  </si>
  <si>
    <t>55.00.00.00</t>
  </si>
  <si>
    <t>BEBAN UTILITAS</t>
  </si>
  <si>
    <t>55.01.00.00</t>
  </si>
  <si>
    <t>Listrik Office</t>
  </si>
  <si>
    <t>55.02.00.00</t>
  </si>
  <si>
    <t>Listrik Workshop</t>
  </si>
  <si>
    <t>55.03.00.00</t>
  </si>
  <si>
    <t>55.04.00.00</t>
  </si>
  <si>
    <t>PDAM Office</t>
  </si>
  <si>
    <t>55.05.00.00</t>
  </si>
  <si>
    <t>PDAM Workshop</t>
  </si>
  <si>
    <t>55.06.00.00</t>
  </si>
  <si>
    <t>55.07.00.00</t>
  </si>
  <si>
    <t>Wifi Office</t>
  </si>
  <si>
    <t>55.08.00.00</t>
  </si>
  <si>
    <t>Wifi Workshop</t>
  </si>
  <si>
    <t>55.09.00.00</t>
  </si>
  <si>
    <t>56.00.00.00</t>
  </si>
  <si>
    <t>BEBAN SEWA</t>
  </si>
  <si>
    <t>56.01.00.00</t>
  </si>
  <si>
    <t>Sewa Tempat Office</t>
  </si>
  <si>
    <t>56.02.00.00</t>
  </si>
  <si>
    <t>Sewa Tempat Workshop</t>
  </si>
  <si>
    <t>60.00.00.00</t>
  </si>
  <si>
    <t>BEBAN OPERASIONAL</t>
  </si>
  <si>
    <t>60.01.00.00</t>
  </si>
  <si>
    <t>Transport/ Bensin/ Parkir</t>
  </si>
  <si>
    <t>60.03.00.00</t>
  </si>
  <si>
    <t>Iuran Sampah &amp; Keamanan</t>
  </si>
  <si>
    <t>60.04.00.00</t>
  </si>
  <si>
    <t>Iuran RT, RW</t>
  </si>
  <si>
    <t>60.05.00.00</t>
  </si>
  <si>
    <t>ATK</t>
  </si>
  <si>
    <t>60.08.00.00</t>
  </si>
  <si>
    <t>Iklan Loker</t>
  </si>
  <si>
    <t>60.09.00.00</t>
  </si>
  <si>
    <t>60.12.00.00</t>
  </si>
  <si>
    <t>Konsultan</t>
  </si>
  <si>
    <t>60.13.00.00</t>
  </si>
  <si>
    <t>CSR</t>
  </si>
  <si>
    <t>60.15.00.00</t>
  </si>
  <si>
    <t>Pajak</t>
  </si>
  <si>
    <t>60.17.00.00</t>
  </si>
  <si>
    <t>60.18.00.00</t>
  </si>
  <si>
    <t>60.20.00.00</t>
  </si>
  <si>
    <t>70.00.00.00</t>
  </si>
  <si>
    <t>PENDAPATAN LAIN-LAIN</t>
  </si>
  <si>
    <t>71.00.00.00</t>
  </si>
  <si>
    <t>Pendapatan Bunga Bank</t>
  </si>
  <si>
    <t>72.00.00.00</t>
  </si>
  <si>
    <t>Pendapatan Lainya</t>
  </si>
  <si>
    <t>80.00.00.00</t>
  </si>
  <si>
    <t>BEBAN LAIN-LAIN</t>
  </si>
  <si>
    <t>81.00.00.00</t>
  </si>
  <si>
    <t>Biaya Admin Bank</t>
  </si>
  <si>
    <t>82.00.00.00</t>
  </si>
  <si>
    <t>Pendapatan jasa</t>
  </si>
  <si>
    <t>pendapatan shoepolice</t>
  </si>
  <si>
    <t>pendapatan affiliate</t>
  </si>
  <si>
    <t>pendapatan lain-lain</t>
  </si>
  <si>
    <t>Hpp sole</t>
  </si>
  <si>
    <t>utang pajak</t>
  </si>
  <si>
    <t>utang jne</t>
  </si>
  <si>
    <t>utang pcp</t>
  </si>
  <si>
    <t>Hpp upper</t>
  </si>
  <si>
    <t>Hpp reguler</t>
  </si>
  <si>
    <t>Hpp Vibram</t>
  </si>
  <si>
    <t>Hpp repaint</t>
  </si>
  <si>
    <t>Hpp general</t>
  </si>
  <si>
    <t>Hpp Aksesoris</t>
  </si>
  <si>
    <t>Beban Gaji Workshop</t>
  </si>
  <si>
    <t>Beban Gaji CS</t>
  </si>
  <si>
    <t>Beban Gaji Finance</t>
  </si>
  <si>
    <t>Beban Gaji CC</t>
  </si>
  <si>
    <t>Beban Gaji Data analisis</t>
  </si>
  <si>
    <t>Beban Gaji Gudang</t>
  </si>
  <si>
    <t>Beban Gaji shoepolice</t>
  </si>
  <si>
    <t>Beban gaji tukang</t>
  </si>
  <si>
    <t>Bonus tukang</t>
  </si>
  <si>
    <t>Bonus kehadiran</t>
  </si>
  <si>
    <t>Biaya packaging</t>
  </si>
  <si>
    <t>Biaya ekspedisi &amp; ongkir</t>
  </si>
  <si>
    <t xml:space="preserve">Konsumsi lembur &amp; Meeting </t>
  </si>
  <si>
    <t>pancake</t>
  </si>
  <si>
    <t>Sleekflow</t>
  </si>
  <si>
    <t>anty gravity</t>
  </si>
  <si>
    <t>server domainesia</t>
  </si>
  <si>
    <t>voucher marketing</t>
  </si>
  <si>
    <t>Beban Listrik Office</t>
  </si>
  <si>
    <t>Beban Listrik Workshop</t>
  </si>
  <si>
    <t>Beban Listrik sortir</t>
  </si>
  <si>
    <t>Beban PDAM Office</t>
  </si>
  <si>
    <t>Beban PDAM Workshop</t>
  </si>
  <si>
    <t>Beban PDAM sortir</t>
  </si>
  <si>
    <t>Beban Wifi Office</t>
  </si>
  <si>
    <t>Beban Wifi Sortir</t>
  </si>
  <si>
    <t>Beban Wifi Workshop</t>
  </si>
  <si>
    <t>sewa tempat shoepolice</t>
  </si>
  <si>
    <t>Sewa Tempat sortir</t>
  </si>
  <si>
    <t>Beban dapur</t>
  </si>
  <si>
    <t>beban lainnya</t>
  </si>
  <si>
    <t>kompensasi kehilangan sepatu (WS)</t>
  </si>
  <si>
    <t>pemeliharaan perlengkapan</t>
  </si>
  <si>
    <t>Beban Transport/ Bensin/ Parkir</t>
  </si>
  <si>
    <t>Beban Iuran Sampah &amp; Keamanan</t>
  </si>
  <si>
    <t>Beban Iuran RT, RW</t>
  </si>
  <si>
    <t>Beban ATK</t>
  </si>
  <si>
    <t>Beban Iklan Loker</t>
  </si>
  <si>
    <t>Beban iuran WS</t>
  </si>
  <si>
    <t>Beban Konsultan</t>
  </si>
  <si>
    <t>Beban CSR</t>
  </si>
  <si>
    <t>Beban pemeliharaan kebersihan</t>
  </si>
  <si>
    <t>Beban coway oma</t>
  </si>
  <si>
    <t>pendapatan ongkir</t>
  </si>
  <si>
    <t>Retur &amp; Refund</t>
  </si>
  <si>
    <t>pendapatan jasa eiger</t>
  </si>
  <si>
    <t>PT. TERANG GARAM SOLUSINDO</t>
  </si>
  <si>
    <t>LABA (RUGI) OFFICE &amp; WS</t>
  </si>
  <si>
    <t>PER MEI 2026 (28 april - 27 mei 2026)</t>
  </si>
  <si>
    <t>pendapatan jasa</t>
  </si>
  <si>
    <t>43.00.00.00</t>
  </si>
  <si>
    <t>OMZET</t>
  </si>
  <si>
    <t>HPP aksesoris</t>
  </si>
  <si>
    <t>HPP Reguler</t>
  </si>
  <si>
    <t>HPP Ripen</t>
  </si>
  <si>
    <t>-</t>
  </si>
  <si>
    <t>HPP sole</t>
  </si>
  <si>
    <t>50.06.00.00</t>
  </si>
  <si>
    <t>50.07.00.01</t>
  </si>
  <si>
    <t>51.10.00.00</t>
  </si>
  <si>
    <t>Gaji + bonus Produksi</t>
  </si>
  <si>
    <t>HPP</t>
  </si>
  <si>
    <t>PENDAPATAN BRUTO</t>
  </si>
  <si>
    <t>Gaji Workshop</t>
  </si>
  <si>
    <t>Gaji CS</t>
  </si>
  <si>
    <t>Gaji Finance</t>
  </si>
  <si>
    <t>51.06.00.00</t>
  </si>
  <si>
    <t>Gaji CC</t>
  </si>
  <si>
    <t>51.07.00.00</t>
  </si>
  <si>
    <t>Gaji Data analisis</t>
  </si>
  <si>
    <t>51.08.00.00</t>
  </si>
  <si>
    <t>Gaji Gudang</t>
  </si>
  <si>
    <t>BEBAN SOFTWARE &amp; PERANGKAT LUNAK</t>
  </si>
  <si>
    <t>Listrik sortir</t>
  </si>
  <si>
    <t>PDAM sortir</t>
  </si>
  <si>
    <t>Wifi Sortir</t>
  </si>
  <si>
    <t>iuran WS</t>
  </si>
  <si>
    <t>pemeliharaan kebersihan</t>
  </si>
  <si>
    <t>60.19.00.01</t>
  </si>
  <si>
    <t>coway oma</t>
  </si>
  <si>
    <t>60.21.00.00</t>
  </si>
  <si>
    <t>TOTAL BEBAN OPERASIONAL</t>
  </si>
  <si>
    <t>PENDAPATAN OPERASIONAL</t>
  </si>
  <si>
    <t>LABA (RUGI) SETELAH PAJAK PENGHASILAN</t>
  </si>
  <si>
    <t>RETUR &amp; KOMPENSASI</t>
  </si>
  <si>
    <t xml:space="preserve">kompensasi </t>
  </si>
  <si>
    <t>TOTAL RETUR &amp; KOMPENSASI</t>
  </si>
  <si>
    <t>TOTAL HPP</t>
  </si>
  <si>
    <t>Pengembalian kelebihan perjalanan dinas</t>
  </si>
  <si>
    <t>01 juni 2026</t>
  </si>
  <si>
    <t>2 juni 2026</t>
  </si>
  <si>
    <t>3 juni 2026</t>
  </si>
  <si>
    <t>kopi, gula, teh ws</t>
  </si>
  <si>
    <t>MITRA</t>
  </si>
  <si>
    <t>MEGA</t>
  </si>
  <si>
    <t>SUMBER</t>
  </si>
  <si>
    <t>OUTLET KITA</t>
  </si>
  <si>
    <t>SOLE BOLA</t>
  </si>
  <si>
    <t>BANTAL TUMIT</t>
  </si>
  <si>
    <t>SOLE BADMINTON</t>
  </si>
  <si>
    <t>HEEL PATCH CONVERS</t>
  </si>
  <si>
    <t>BIAYA KIRIMAN KULIT</t>
  </si>
  <si>
    <t>vibram</t>
  </si>
  <si>
    <t>BENSIN KIMKO</t>
  </si>
  <si>
    <t>BRIKEN</t>
  </si>
  <si>
    <t>POTONG ADM</t>
  </si>
  <si>
    <t>admin bca</t>
  </si>
  <si>
    <t>ads</t>
  </si>
  <si>
    <t>gaji bulanan mei</t>
  </si>
  <si>
    <t>prive</t>
  </si>
  <si>
    <t>selisih ayat silang</t>
  </si>
  <si>
    <t>iuran office/sortir</t>
  </si>
  <si>
    <t>ongkir cust pick up tunggu pengembalian</t>
  </si>
  <si>
    <t>meeting</t>
  </si>
  <si>
    <t>ongkir an fauzi</t>
  </si>
  <si>
    <t>atk</t>
  </si>
  <si>
    <t>pajak sisa bayar th 2022 &amp; 2024</t>
  </si>
  <si>
    <t>AFUNG</t>
  </si>
  <si>
    <t>BEN</t>
  </si>
  <si>
    <t>JUMBO</t>
  </si>
  <si>
    <t>SHOPPE</t>
  </si>
  <si>
    <t>GG.KOTE</t>
  </si>
  <si>
    <t>HATMAN KULIT</t>
  </si>
  <si>
    <t>BUCKLE,ZIPPER,KARET</t>
  </si>
  <si>
    <t>sewa sorrtir</t>
  </si>
  <si>
    <t>DTF</t>
  </si>
  <si>
    <t>SUEDE ERASER</t>
  </si>
  <si>
    <t>CAT SERBAGUNA</t>
  </si>
  <si>
    <t>FOAM SHOES</t>
  </si>
  <si>
    <t>HEEL PATCH</t>
  </si>
  <si>
    <t>ORANGE ACRYLIC</t>
  </si>
  <si>
    <t>RABUAN UJANG DANU</t>
  </si>
  <si>
    <t>RABUAN AGUS</t>
  </si>
  <si>
    <t>RABUAN EDI</t>
  </si>
  <si>
    <t>RABUAN DEDE</t>
  </si>
  <si>
    <t>RABUAN YAYAN</t>
  </si>
  <si>
    <t>RABUAN AJI</t>
  </si>
  <si>
    <t>wa api</t>
  </si>
  <si>
    <t>meeting luar</t>
  </si>
  <si>
    <t>4 juni 2026</t>
  </si>
  <si>
    <t>hutang gaji mei ttl 11.901.167</t>
  </si>
  <si>
    <t>fee charger</t>
  </si>
  <si>
    <t>alat studio photo gudang</t>
  </si>
  <si>
    <t>kardus 150 kecil + 40 besar packaging gudang &amp; admin</t>
  </si>
  <si>
    <t>refund kelebihan bayar an syamsul alam S-2605-31-1505-AW</t>
  </si>
  <si>
    <t>kompensasi ongkir an kai S-2605-07-0356-SB</t>
  </si>
  <si>
    <t>ZIPPER DAN JARUM</t>
  </si>
  <si>
    <t>5 juni 2026</t>
  </si>
  <si>
    <t>pengembalian kelebihan perjalanan dinas</t>
  </si>
  <si>
    <t>loker tukang (milla hrd)</t>
  </si>
  <si>
    <t>alat tataban cangkang mesin jahit</t>
  </si>
  <si>
    <t>plastik ws</t>
  </si>
  <si>
    <t>slekkflow</t>
  </si>
  <si>
    <t>refund ongkir an ryantino L-2605-03-0003-IK di ambil sendiri</t>
  </si>
  <si>
    <t>ongkir an yenny lim 5 sepatu 0041-sb pakai jne</t>
  </si>
  <si>
    <t>ads tambahan bca 3jt</t>
  </si>
  <si>
    <t>atk + parkir</t>
  </si>
  <si>
    <t>6 juni 2026</t>
  </si>
  <si>
    <t>pengembalian dp kursi</t>
  </si>
  <si>
    <t>ads 2 hari</t>
  </si>
  <si>
    <t>pembelian alat listrik</t>
  </si>
  <si>
    <t>um 8 orang</t>
  </si>
  <si>
    <t>listrik office</t>
  </si>
  <si>
    <t>wa api tgl 1 dan 7 juni</t>
  </si>
  <si>
    <t>belanja ws kulit jatim</t>
  </si>
  <si>
    <t>TEST PEN</t>
  </si>
  <si>
    <t>GAJI MINGGUAN UJANG DANU</t>
  </si>
  <si>
    <t>GAJI MINGGUAN AGUS</t>
  </si>
  <si>
    <t>GAJI MINGGUAN EDI</t>
  </si>
  <si>
    <t>GAJI MINGGUAN DEDE</t>
  </si>
  <si>
    <t>GAJI MINGGUAN AI</t>
  </si>
  <si>
    <t>GAJI MINGGUAN YAYAN</t>
  </si>
  <si>
    <t>GAJI MINGGUAN HADI</t>
  </si>
  <si>
    <t>GAJI MINGGUAN AJI</t>
  </si>
  <si>
    <t>GAJI MINGUAN RUDI</t>
  </si>
  <si>
    <t>GAJI MINGGUAN ILHAM</t>
  </si>
  <si>
    <t>GAJI MINGGUAN RIZKI</t>
  </si>
  <si>
    <t>GAJI MINGGUAN ADE</t>
  </si>
  <si>
    <t>GAJI MINGGUAN ATEP OB</t>
  </si>
  <si>
    <t>GAJI MINGGUAN JIHDA (ELIN)</t>
  </si>
  <si>
    <t>listrik ws</t>
  </si>
  <si>
    <t>7 juni 2026</t>
  </si>
  <si>
    <t>prive gadie</t>
  </si>
  <si>
    <t>8 juni 2026</t>
  </si>
  <si>
    <t>iuran sampah ws</t>
  </si>
  <si>
    <t>service mesin dan ganti sparepart ws</t>
  </si>
  <si>
    <t>9 juni 2026</t>
  </si>
  <si>
    <t>wifi sortir</t>
  </si>
  <si>
    <t>KIMIA</t>
  </si>
  <si>
    <t>GOSEND KULIT JATIM</t>
  </si>
  <si>
    <t>BENSIN</t>
  </si>
  <si>
    <t>ASIA</t>
  </si>
  <si>
    <t>FM KULIT</t>
  </si>
  <si>
    <t>BUCKLE,KNOP</t>
  </si>
  <si>
    <t>PRIVE</t>
  </si>
  <si>
    <t>ongkir an andrew S-2602-28-0637-GR j&amp;t</t>
  </si>
  <si>
    <t>ongkir an yazhar S-2603-18-0656-SB J&amp;T</t>
  </si>
  <si>
    <t>ongkir an r oktavianus S-2605-13-0707-SB J&amp;T</t>
  </si>
  <si>
    <t>ongkir an andrysyanto S-2604-11-0515-MY J&amp;T</t>
  </si>
  <si>
    <t>pembelian kresek gudang</t>
  </si>
  <si>
    <t>10 juni 2026</t>
  </si>
  <si>
    <t>refund ongkir an faizal rizal spk-S-2605-11-0593-RQ kelebihan</t>
  </si>
  <si>
    <t>meeting manajemen</t>
  </si>
  <si>
    <t>prive padon</t>
  </si>
  <si>
    <t>sewa office ke 3</t>
  </si>
  <si>
    <t>server domaisa</t>
  </si>
  <si>
    <t>kelebihan gaji mingguan</t>
  </si>
  <si>
    <t>perbaikan oven ws kabel elemen putus</t>
  </si>
  <si>
    <t>11 juni 2026</t>
  </si>
  <si>
    <t>mitra</t>
  </si>
  <si>
    <t>freelance landing page (ihsan)</t>
  </si>
  <si>
    <t>anty grafiti akun baru promo 3 bulan</t>
  </si>
  <si>
    <t>meeting manajemen u/ sop ws &amp; gudang</t>
  </si>
  <si>
    <t>loker</t>
  </si>
  <si>
    <t>aqua galon bulan mei 25 galon</t>
  </si>
  <si>
    <t>kresek sampah</t>
  </si>
  <si>
    <t>12 juni 2026</t>
  </si>
  <si>
    <t>pendapatan eiger</t>
  </si>
  <si>
    <t>meeting manajemen reimburs ozi mei</t>
  </si>
  <si>
    <t>pengobatan karyawan an sri irmayanti ws</t>
  </si>
  <si>
    <t>kompensasi an abdul spk S-2605-03-0125-IK</t>
  </si>
  <si>
    <t>konpensasi an ikhsan spk N-2601-49-0349-QA</t>
  </si>
  <si>
    <t>listrik sortir</t>
  </si>
  <si>
    <t>YEZZY</t>
  </si>
  <si>
    <t>GELAS UKUR,TISU</t>
  </si>
  <si>
    <t>BENSIN MIO</t>
  </si>
  <si>
    <t>TALI</t>
  </si>
  <si>
    <t>OUTELT KITA</t>
  </si>
  <si>
    <t>OUTLETKITA</t>
  </si>
  <si>
    <t>CAT FINISHER</t>
  </si>
  <si>
    <t>SOLE FRADO</t>
  </si>
  <si>
    <t>SOLE LOTUS</t>
  </si>
  <si>
    <t>ALAS CROCO</t>
  </si>
  <si>
    <t>13 juni 2026</t>
  </si>
  <si>
    <t>makan minggu ws 9 org</t>
  </si>
  <si>
    <t>gaji setengah pa agus</t>
  </si>
  <si>
    <t>gaji setengah pa edi</t>
  </si>
  <si>
    <t>gaji setengah pa dede</t>
  </si>
  <si>
    <t>gaji mingguan yayan</t>
  </si>
  <si>
    <t>gaji mingguan hadi</t>
  </si>
  <si>
    <t>gaji mingguan aji</t>
  </si>
  <si>
    <t>gaji setengah rudi</t>
  </si>
  <si>
    <t>gaji mingguan rizki</t>
  </si>
  <si>
    <t>gaji setengah ade</t>
  </si>
  <si>
    <t>gaji mingguan agus</t>
  </si>
  <si>
    <t>gaji mingguan soni</t>
  </si>
  <si>
    <t>gaji mingguan sri</t>
  </si>
  <si>
    <t>gaji mingguan reni</t>
  </si>
  <si>
    <t>gaji mingguan dadan</t>
  </si>
  <si>
    <t>gaji setengah patri</t>
  </si>
  <si>
    <t>gaji mingguan atep</t>
  </si>
  <si>
    <t>gaji mingguan elin jihad gudang</t>
  </si>
  <si>
    <t>makan minggu office 5 orang</t>
  </si>
  <si>
    <t>14 juni 2026</t>
  </si>
  <si>
    <t>gaji mingguan uu</t>
  </si>
  <si>
    <t>sisa gaji agus</t>
  </si>
  <si>
    <t>sisa gaji edi</t>
  </si>
  <si>
    <t>sisa gaji dede</t>
  </si>
  <si>
    <t>gaji mingguan ai</t>
  </si>
  <si>
    <t>sisa gaji rudi</t>
  </si>
  <si>
    <t>sisa gaji ade</t>
  </si>
  <si>
    <t>sisa gaji tri</t>
  </si>
  <si>
    <t>15 juni 2026</t>
  </si>
  <si>
    <t>kardus besar 40 &amp; kecil 100 pcs packaging gudang</t>
  </si>
  <si>
    <t>kertas alamat 300 pcs packaging gudang</t>
  </si>
  <si>
    <t>ongkir pick up awal nouval cuary S-2606-09-0435-QA</t>
  </si>
  <si>
    <t>ematerai shoepilice</t>
  </si>
  <si>
    <t>pajak</t>
  </si>
  <si>
    <t>wifi ws</t>
  </si>
  <si>
    <t>16 juni 2026</t>
  </si>
  <si>
    <t>bensin kimko</t>
  </si>
  <si>
    <t>sampah</t>
  </si>
  <si>
    <t>sumber</t>
  </si>
  <si>
    <t>mega</t>
  </si>
  <si>
    <t>welt</t>
  </si>
  <si>
    <t>vrintex</t>
  </si>
  <si>
    <t>outlet kita</t>
  </si>
  <si>
    <t>bonus yayan</t>
  </si>
  <si>
    <t>bonus uu</t>
  </si>
  <si>
    <t>bonus agus</t>
  </si>
  <si>
    <t>bonus edi</t>
  </si>
  <si>
    <t>bonus dede</t>
  </si>
  <si>
    <t>bonus rudi</t>
  </si>
  <si>
    <t>bonus ai</t>
  </si>
  <si>
    <t>bonus devi</t>
  </si>
  <si>
    <t>bonus hadi</t>
  </si>
  <si>
    <t>bonus aji</t>
  </si>
  <si>
    <t>ongkir pick up awal paulus nanda S-2606-13-0607-QA</t>
  </si>
  <si>
    <t>jasa pajak</t>
  </si>
  <si>
    <t>coway</t>
  </si>
  <si>
    <t>17 juni 2026</t>
  </si>
  <si>
    <t>kresek dan karet u/ packaging gudang</t>
  </si>
  <si>
    <t>bonus cs</t>
  </si>
  <si>
    <t>afung</t>
  </si>
  <si>
    <t>asia</t>
  </si>
  <si>
    <t>ben</t>
  </si>
  <si>
    <t>gg kote</t>
  </si>
  <si>
    <t>jumbo</t>
  </si>
  <si>
    <t>vanish</t>
  </si>
  <si>
    <t>benang</t>
  </si>
  <si>
    <t>cat gold</t>
  </si>
  <si>
    <t>hell patch</t>
  </si>
  <si>
    <t>lakban</t>
  </si>
  <si>
    <t>kulit hatman</t>
  </si>
  <si>
    <t>buckle</t>
  </si>
  <si>
    <t>rabuan uu</t>
  </si>
  <si>
    <t>rabuan agus</t>
  </si>
  <si>
    <t>rabun edi</t>
  </si>
  <si>
    <t>rabun dede</t>
  </si>
  <si>
    <t>rabuan yayan</t>
  </si>
  <si>
    <t>rabuan aji</t>
  </si>
  <si>
    <t>18 juni 2026</t>
  </si>
  <si>
    <t>buku tulis</t>
  </si>
  <si>
    <t>shopee</t>
  </si>
  <si>
    <t>ongkir jnt an zaki 1239-fr</t>
  </si>
  <si>
    <t>ongkir jnt an gunawan 0630-rq</t>
  </si>
  <si>
    <t>ongkir jnt an bagas 1239-kk</t>
  </si>
  <si>
    <t>ongkir jnt an adi 0625-aw</t>
  </si>
  <si>
    <t>pdam 1 bln office</t>
  </si>
  <si>
    <t>pdam 3 bln ws</t>
  </si>
  <si>
    <t>pdam 2 bln sortir</t>
  </si>
  <si>
    <t>donasi kemanusiaan pdam</t>
  </si>
  <si>
    <t>wifi office</t>
  </si>
  <si>
    <t>19 juni 2026</t>
  </si>
  <si>
    <t>refund ongkir reza S-2606-02-0105-AW</t>
  </si>
  <si>
    <t>meeting eiger</t>
  </si>
  <si>
    <t>ongkir an roy ilham S-2605-02-0100-VN</t>
  </si>
  <si>
    <t>20 juni 2026</t>
  </si>
  <si>
    <t>makan minggu 9 orang ws (8 tukang + 1 admin)</t>
  </si>
  <si>
    <t>SAMPAH WS SORTIR</t>
  </si>
  <si>
    <t>PILOK</t>
  </si>
  <si>
    <t>GAJI MINGGUAN UU</t>
  </si>
  <si>
    <t>GAJI MINGGUAN RUDI</t>
  </si>
  <si>
    <t>GAJI MINGGUAN DADAN</t>
  </si>
  <si>
    <t>GAI MINGGUAN AI</t>
  </si>
  <si>
    <t>GAJI MINGGUAN SONI</t>
  </si>
  <si>
    <t>GAJI MINGGUAN SRI</t>
  </si>
  <si>
    <t>GAJI MINGGUAN RENI</t>
  </si>
  <si>
    <t>GAJI MINGGUAN TRI</t>
  </si>
  <si>
    <t>GAI MINGGUAN SANDI</t>
  </si>
  <si>
    <t>GAJI MINGGUAN ATEP</t>
  </si>
  <si>
    <t>GAJI MINGGUAN ELIN (JIHAD)</t>
  </si>
  <si>
    <t>pcp maret</t>
  </si>
  <si>
    <t>meeting cash flow</t>
  </si>
  <si>
    <t>makan minggu 6 orang office</t>
  </si>
  <si>
    <t>ongkir an renra oday S-2606-13-0657-MY</t>
  </si>
  <si>
    <t>ongkir an yusron S-2606-13-035-SB</t>
  </si>
  <si>
    <t>ongkir an bp.widayanti 0602-sb</t>
  </si>
  <si>
    <t>ongkir an anita r/surya 0581-qa</t>
  </si>
  <si>
    <t>ongkir S-2606-05-0270-vn an masriyadi</t>
  </si>
  <si>
    <t>21 juni 2026</t>
  </si>
  <si>
    <t>lembur ws</t>
  </si>
  <si>
    <t>22 juni 2026</t>
  </si>
  <si>
    <t>briken</t>
  </si>
  <si>
    <t>iuran ws</t>
  </si>
  <si>
    <t>dp csr</t>
  </si>
  <si>
    <t>refund cust</t>
  </si>
  <si>
    <t>pelunasan csr</t>
  </si>
  <si>
    <t>23 juni 2026</t>
  </si>
  <si>
    <t>kardus kecil 97 pcs dan besar 20 pcs</t>
  </si>
  <si>
    <t>plastik gudang</t>
  </si>
  <si>
    <t>biaya service wastafel air dan toren atas dan akseseris</t>
  </si>
  <si>
    <t>obat kantor</t>
  </si>
  <si>
    <t>alat penghemat listrik ws</t>
  </si>
  <si>
    <t>GAS</t>
  </si>
  <si>
    <t>SAMPAH</t>
  </si>
  <si>
    <t>24 juni 2026</t>
  </si>
  <si>
    <t>RABUAN UU</t>
  </si>
  <si>
    <t>LASSER</t>
  </si>
  <si>
    <t>gembok sortir</t>
  </si>
  <si>
    <t>kompensasi a/n anto S-2602-09-0051-QA refund 50% ws tidak dapat mengerjakan full repaint</t>
  </si>
  <si>
    <t>refund a/n anto S-2602-09-0051-QA pembayaran lebih ransfer 2 x</t>
  </si>
  <si>
    <t>refund ongkir a/n mardin S-2605-18-0976-VN barang di ambil sendiri</t>
  </si>
  <si>
    <t>vendor gyw tio ws</t>
  </si>
  <si>
    <t>25 juni 2026</t>
  </si>
  <si>
    <t>meeting u/ marketing dan data analis</t>
  </si>
  <si>
    <t>meeting u/ perhitungan gaji dan aturan bonus</t>
  </si>
  <si>
    <t>refund ongkir a/n key S-2605-26-1327-RQ ambil sendiri</t>
  </si>
  <si>
    <t>SEPATU FUTSAL</t>
  </si>
  <si>
    <t>SOLE PROTECTOR</t>
  </si>
  <si>
    <t>GUDANG OUTSOLE</t>
  </si>
  <si>
    <t>SOLE TRAIL</t>
  </si>
  <si>
    <t>SAFTYKAL</t>
  </si>
  <si>
    <t>VIBRAM</t>
  </si>
  <si>
    <t>KULIT</t>
  </si>
  <si>
    <t>CREPE</t>
  </si>
  <si>
    <t>LAKBAN</t>
  </si>
  <si>
    <t>26 juni 2026</t>
  </si>
  <si>
    <t>KOPI GULA</t>
  </si>
  <si>
    <t>KULIT JATIM</t>
  </si>
  <si>
    <t>ISI ANGIN</t>
  </si>
  <si>
    <t>BATU BATRE</t>
  </si>
  <si>
    <t>TAMBAL</t>
  </si>
  <si>
    <t>FRODO</t>
  </si>
  <si>
    <t>FOXING</t>
  </si>
  <si>
    <t>ongkir an nano han S-2606-17-0798-QA</t>
  </si>
  <si>
    <t>ongkir an ari kurniawan S-2606-15-0719-MY</t>
  </si>
  <si>
    <t>ongkir an sukimin S-2606-06-0298-SB</t>
  </si>
  <si>
    <t>ongkir an dwi supriyanto 0571-QA</t>
  </si>
  <si>
    <t>ongkir an inge S-2606-12-0576-MY</t>
  </si>
  <si>
    <t>ongkir an muhammad yamin S-2604-20-0858-MY di kirim jnt 4 sepatu</t>
  </si>
  <si>
    <t>27 juni 2026</t>
  </si>
  <si>
    <t>biaya konsumsi 10 org ws tgl 28/6</t>
  </si>
  <si>
    <t>GAJI MINGGUAN RUDY</t>
  </si>
  <si>
    <t>GAJI MINNGUAN SANDI</t>
  </si>
  <si>
    <t>GAJI MINGGUAN ATEP (OB)</t>
  </si>
  <si>
    <t>GAJI MINGGUAN ELIN (GUDANG)</t>
  </si>
  <si>
    <t>prive padon gopay</t>
  </si>
  <si>
    <t>prive oma</t>
  </si>
  <si>
    <t>service laptope kecil</t>
  </si>
  <si>
    <t>ongkir JNT an ardana S-2605-15-0793-RQ</t>
  </si>
  <si>
    <t>refund an alec S-2603-10-0373-AW kelebihan harga jasa sol</t>
  </si>
  <si>
    <t>biaya konsumsi 5 org cs tgl 28-6 (minta ke teh novi kembalian 25rb</t>
  </si>
  <si>
    <t>prive u/ bakso padon</t>
  </si>
  <si>
    <t>sunlight</t>
  </si>
  <si>
    <t>29 juni 2026</t>
  </si>
  <si>
    <t>lakban gudang</t>
  </si>
  <si>
    <t>lembur tukang ws tgl 28/6</t>
  </si>
  <si>
    <t>kompensasi an ekodoli S-2605-16-0848-FR sepatunya lebih dari estimasi , website tidak realtime karena tbtb berada di produksi tidak masuk assesment</t>
  </si>
  <si>
    <t>refund ongkir an petrik S-2605-29-1433-QA sepatu jadi ambil sendiri</t>
  </si>
  <si>
    <t>loker hrd 2x</t>
  </si>
  <si>
    <t>30 juni 2026</t>
  </si>
  <si>
    <t>admin mandiri</t>
  </si>
  <si>
    <t>admin saldo mandiri</t>
  </si>
  <si>
    <t>pajak mandiri</t>
  </si>
  <si>
    <t>photocopy garansi</t>
  </si>
  <si>
    <t>plastik ws packaging</t>
  </si>
  <si>
    <t>kebersihan workshop lama</t>
  </si>
  <si>
    <t>ongkir jnt S-2605-13-0689-VN &amp; S-2606-14-0685-FR</t>
  </si>
  <si>
    <t>Meeting penggajian</t>
  </si>
  <si>
    <t>refund ongkir an cokordha s-2605-29-1415-sb kelebihan bayar</t>
  </si>
  <si>
    <t>refund ongkir an alal s-2605-20-1093-sb ambil sendiri</t>
  </si>
  <si>
    <t>ongkir an ihsan maulandi 1031-vn</t>
  </si>
  <si>
    <t>ongkir an allaen 1051-sb</t>
  </si>
  <si>
    <t>ongkir an hasidah prayudhi 0646-sb</t>
  </si>
  <si>
    <t>ongkir an yusron 0635-sb</t>
  </si>
  <si>
    <t>bensin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</si>
</sst>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_-* #,##0_-;\-* #,##0_-;_-* &quot;-&quot;_-;_-@"/>
    <numFmt numFmtId="166" formatCode="_-[$Rp-421]* #,##0_-;\-[$Rp-421]* #,##0_-;_-[$Rp-421]* &quot;-&quot;_-;_-@_-"/>
  </numFmts>
  <fonts count="27" x14ac:knownFonts="1">
    <font>
      <sz val="11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Century"/>
      <family val="1"/>
    </font>
    <font>
      <b/>
      <sz val="10"/>
      <color theme="1"/>
      <name val="Century"/>
      <family val="1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u/>
      <sz val="10"/>
      <color theme="1"/>
      <name val="Century Gothic"/>
      <family val="2"/>
    </font>
    <font>
      <u/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Arial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DD9C3"/>
        <bgColor rgb="FFDDD9C3"/>
      </patternFill>
    </fill>
    <fill>
      <patternFill patternType="solid">
        <fgColor rgb="FF1F497D"/>
        <bgColor rgb="FF1F497D"/>
      </patternFill>
    </fill>
    <fill>
      <patternFill patternType="solid">
        <fgColor rgb="FFE93F11"/>
        <bgColor rgb="FFE93F11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rgb="FFDAEEF3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B6DDE8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/>
      <right/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4" borderId="1" xfId="0" applyFont="1" applyFill="1" applyBorder="1"/>
    <xf numFmtId="0" fontId="2" fillId="4" borderId="1" xfId="0" applyFont="1" applyFill="1" applyBorder="1"/>
    <xf numFmtId="0" fontId="6" fillId="6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164" fontId="7" fillId="0" borderId="5" xfId="0" applyNumberFormat="1" applyFont="1" applyBorder="1"/>
    <xf numFmtId="0" fontId="1" fillId="0" borderId="5" xfId="0" applyFont="1" applyBorder="1" applyAlignment="1">
      <alignment horizontal="center"/>
    </xf>
    <xf numFmtId="164" fontId="7" fillId="0" borderId="0" xfId="0" applyNumberFormat="1" applyFont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164" fontId="7" fillId="0" borderId="6" xfId="0" applyNumberFormat="1" applyFont="1" applyBorder="1"/>
    <xf numFmtId="0" fontId="7" fillId="0" borderId="0" xfId="0" applyFont="1"/>
    <xf numFmtId="0" fontId="8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164" fontId="1" fillId="0" borderId="5" xfId="0" applyNumberFormat="1" applyFont="1" applyBorder="1"/>
    <xf numFmtId="0" fontId="6" fillId="0" borderId="0" xfId="0" applyFont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164" fontId="1" fillId="9" borderId="1" xfId="0" applyNumberFormat="1" applyFont="1" applyFill="1" applyBorder="1"/>
    <xf numFmtId="0" fontId="6" fillId="0" borderId="9" xfId="0" applyFont="1" applyBorder="1" applyAlignment="1">
      <alignment horizontal="center" vertical="center"/>
    </xf>
    <xf numFmtId="14" fontId="1" fillId="0" borderId="5" xfId="0" applyNumberFormat="1" applyFont="1" applyBorder="1"/>
    <xf numFmtId="164" fontId="1" fillId="0" borderId="0" xfId="0" applyNumberFormat="1" applyFont="1"/>
    <xf numFmtId="14" fontId="1" fillId="0" borderId="6" xfId="0" applyNumberFormat="1" applyFont="1" applyBorder="1"/>
    <xf numFmtId="0" fontId="1" fillId="0" borderId="6" xfId="0" applyFont="1" applyBorder="1"/>
    <xf numFmtId="164" fontId="1" fillId="0" borderId="6" xfId="0" applyNumberFormat="1" applyFont="1" applyBorder="1"/>
    <xf numFmtId="0" fontId="8" fillId="0" borderId="0" xfId="0" applyFont="1"/>
    <xf numFmtId="0" fontId="6" fillId="0" borderId="0" xfId="0" applyFont="1"/>
    <xf numFmtId="0" fontId="6" fillId="9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/>
    <xf numFmtId="0" fontId="8" fillId="6" borderId="19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7" fillId="0" borderId="5" xfId="0" applyNumberFormat="1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64" fontId="6" fillId="0" borderId="5" xfId="0" applyNumberFormat="1" applyFont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0" fontId="8" fillId="0" borderId="0" xfId="0" applyFont="1" applyAlignment="1">
      <alignment horizontal="right"/>
    </xf>
    <xf numFmtId="0" fontId="1" fillId="9" borderId="5" xfId="0" applyFont="1" applyFill="1" applyBorder="1"/>
    <xf numFmtId="164" fontId="1" fillId="9" borderId="5" xfId="0" applyNumberFormat="1" applyFont="1" applyFill="1" applyBorder="1"/>
    <xf numFmtId="164" fontId="8" fillId="0" borderId="10" xfId="0" applyNumberFormat="1" applyFont="1" applyBorder="1"/>
    <xf numFmtId="0" fontId="1" fillId="0" borderId="9" xfId="0" applyFont="1" applyBorder="1"/>
    <xf numFmtId="0" fontId="1" fillId="0" borderId="20" xfId="0" applyFont="1" applyBorder="1"/>
    <xf numFmtId="0" fontId="8" fillId="7" borderId="23" xfId="0" applyFont="1" applyFill="1" applyBorder="1"/>
    <xf numFmtId="0" fontId="8" fillId="7" borderId="25" xfId="0" applyFont="1" applyFill="1" applyBorder="1"/>
    <xf numFmtId="0" fontId="1" fillId="7" borderId="1" xfId="0" applyFont="1" applyFill="1" applyBorder="1"/>
    <xf numFmtId="0" fontId="8" fillId="7" borderId="19" xfId="0" applyFont="1" applyFill="1" applyBorder="1"/>
    <xf numFmtId="0" fontId="8" fillId="7" borderId="26" xfId="0" applyFont="1" applyFill="1" applyBorder="1"/>
    <xf numFmtId="0" fontId="1" fillId="0" borderId="27" xfId="0" applyFont="1" applyBorder="1"/>
    <xf numFmtId="0" fontId="1" fillId="0" borderId="9" xfId="0" applyFont="1" applyBorder="1" applyAlignment="1">
      <alignment vertical="center"/>
    </xf>
    <xf numFmtId="164" fontId="1" fillId="0" borderId="20" xfId="0" applyNumberFormat="1" applyFont="1" applyBorder="1"/>
    <xf numFmtId="0" fontId="9" fillId="0" borderId="0" xfId="0" applyFont="1" applyAlignment="1">
      <alignment wrapText="1"/>
    </xf>
    <xf numFmtId="164" fontId="1" fillId="0" borderId="27" xfId="0" applyNumberFormat="1" applyFont="1" applyBorder="1"/>
    <xf numFmtId="164" fontId="1" fillId="9" borderId="28" xfId="0" applyNumberFormat="1" applyFont="1" applyFill="1" applyBorder="1"/>
    <xf numFmtId="0" fontId="1" fillId="0" borderId="29" xfId="0" applyFont="1" applyBorder="1" applyAlignment="1">
      <alignment vertical="center"/>
    </xf>
    <xf numFmtId="164" fontId="1" fillId="9" borderId="30" xfId="0" applyNumberFormat="1" applyFont="1" applyFill="1" applyBorder="1"/>
    <xf numFmtId="0" fontId="8" fillId="6" borderId="23" xfId="0" applyFont="1" applyFill="1" applyBorder="1"/>
    <xf numFmtId="0" fontId="1" fillId="6" borderId="24" xfId="0" applyFont="1" applyFill="1" applyBorder="1"/>
    <xf numFmtId="164" fontId="8" fillId="6" borderId="25" xfId="0" applyNumberFormat="1" applyFont="1" applyFill="1" applyBorder="1"/>
    <xf numFmtId="164" fontId="1" fillId="6" borderId="25" xfId="0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31" xfId="0" applyFont="1" applyBorder="1"/>
    <xf numFmtId="0" fontId="11" fillId="0" borderId="32" xfId="0" applyFont="1" applyBorder="1"/>
    <xf numFmtId="164" fontId="11" fillId="0" borderId="33" xfId="0" applyNumberFormat="1" applyFont="1" applyBorder="1"/>
    <xf numFmtId="0" fontId="11" fillId="0" borderId="9" xfId="0" applyFont="1" applyBorder="1"/>
    <xf numFmtId="164" fontId="11" fillId="0" borderId="0" xfId="0" applyNumberFormat="1" applyFont="1" applyAlignment="1">
      <alignment wrapText="1"/>
    </xf>
    <xf numFmtId="0" fontId="11" fillId="0" borderId="20" xfId="0" applyFont="1" applyBorder="1"/>
    <xf numFmtId="164" fontId="14" fillId="0" borderId="0" xfId="0" applyNumberFormat="1" applyFont="1"/>
    <xf numFmtId="164" fontId="15" fillId="0" borderId="20" xfId="0" applyNumberFormat="1" applyFont="1" applyBorder="1"/>
    <xf numFmtId="0" fontId="13" fillId="0" borderId="29" xfId="0" applyFont="1" applyBorder="1"/>
    <xf numFmtId="0" fontId="11" fillId="0" borderId="34" xfId="0" applyFont="1" applyBorder="1"/>
    <xf numFmtId="164" fontId="16" fillId="9" borderId="30" xfId="0" applyNumberFormat="1" applyFont="1" applyFill="1" applyBorder="1"/>
    <xf numFmtId="165" fontId="11" fillId="0" borderId="0" xfId="0" applyNumberFormat="1" applyFont="1"/>
    <xf numFmtId="0" fontId="13" fillId="6" borderId="23" xfId="0" applyFont="1" applyFill="1" applyBorder="1"/>
    <xf numFmtId="0" fontId="13" fillId="6" borderId="24" xfId="0" applyFont="1" applyFill="1" applyBorder="1"/>
    <xf numFmtId="165" fontId="13" fillId="6" borderId="25" xfId="0" applyNumberFormat="1" applyFont="1" applyFill="1" applyBorder="1"/>
    <xf numFmtId="0" fontId="8" fillId="0" borderId="6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3" fillId="0" borderId="9" xfId="0" applyFont="1" applyBorder="1"/>
    <xf numFmtId="165" fontId="11" fillId="0" borderId="20" xfId="0" applyNumberFormat="1" applyFont="1" applyBorder="1"/>
    <xf numFmtId="0" fontId="11" fillId="6" borderId="24" xfId="0" applyFont="1" applyFill="1" applyBorder="1"/>
    <xf numFmtId="0" fontId="13" fillId="0" borderId="0" xfId="0" applyFont="1"/>
    <xf numFmtId="165" fontId="11" fillId="6" borderId="25" xfId="0" applyNumberFormat="1" applyFont="1" applyFill="1" applyBorder="1"/>
    <xf numFmtId="165" fontId="13" fillId="0" borderId="20" xfId="0" applyNumberFormat="1" applyFont="1" applyBorder="1"/>
    <xf numFmtId="0" fontId="13" fillId="0" borderId="2" xfId="0" applyFont="1" applyBorder="1"/>
    <xf numFmtId="0" fontId="11" fillId="0" borderId="3" xfId="0" applyFont="1" applyBorder="1"/>
    <xf numFmtId="165" fontId="11" fillId="0" borderId="4" xfId="0" applyNumberFormat="1" applyFont="1" applyBorder="1"/>
    <xf numFmtId="14" fontId="11" fillId="0" borderId="0" xfId="0" applyNumberFormat="1" applyFont="1"/>
    <xf numFmtId="165" fontId="1" fillId="0" borderId="0" xfId="0" applyNumberFormat="1" applyFont="1"/>
    <xf numFmtId="0" fontId="8" fillId="7" borderId="35" xfId="0" applyFont="1" applyFill="1" applyBorder="1"/>
    <xf numFmtId="0" fontId="8" fillId="7" borderId="36" xfId="0" applyFont="1" applyFill="1" applyBorder="1"/>
    <xf numFmtId="0" fontId="1" fillId="7" borderId="36" xfId="0" applyFont="1" applyFill="1" applyBorder="1"/>
    <xf numFmtId="164" fontId="8" fillId="7" borderId="26" xfId="0" applyNumberFormat="1" applyFont="1" applyFill="1" applyBorder="1"/>
    <xf numFmtId="0" fontId="8" fillId="7" borderId="37" xfId="0" applyFont="1" applyFill="1" applyBorder="1"/>
    <xf numFmtId="0" fontId="8" fillId="7" borderId="1" xfId="0" applyFont="1" applyFill="1" applyBorder="1"/>
    <xf numFmtId="164" fontId="8" fillId="7" borderId="28" xfId="0" applyNumberFormat="1" applyFont="1" applyFill="1" applyBorder="1"/>
    <xf numFmtId="0" fontId="8" fillId="7" borderId="38" xfId="0" applyFont="1" applyFill="1" applyBorder="1"/>
    <xf numFmtId="0" fontId="8" fillId="7" borderId="39" xfId="0" applyFont="1" applyFill="1" applyBorder="1"/>
    <xf numFmtId="0" fontId="1" fillId="7" borderId="39" xfId="0" applyFont="1" applyFill="1" applyBorder="1"/>
    <xf numFmtId="164" fontId="8" fillId="7" borderId="30" xfId="0" applyNumberFormat="1" applyFont="1" applyFill="1" applyBorder="1"/>
    <xf numFmtId="14" fontId="1" fillId="0" borderId="0" xfId="0" applyNumberFormat="1" applyFont="1"/>
    <xf numFmtId="0" fontId="6" fillId="8" borderId="1" xfId="0" applyFont="1" applyFill="1" applyBorder="1" applyAlignment="1">
      <alignment horizontal="center"/>
    </xf>
    <xf numFmtId="164" fontId="6" fillId="9" borderId="1" xfId="0" applyNumberFormat="1" applyFont="1" applyFill="1" applyBorder="1"/>
    <xf numFmtId="14" fontId="7" fillId="0" borderId="5" xfId="0" applyNumberFormat="1" applyFont="1" applyBorder="1"/>
    <xf numFmtId="164" fontId="8" fillId="0" borderId="0" xfId="0" applyNumberFormat="1" applyFont="1"/>
    <xf numFmtId="164" fontId="7" fillId="9" borderId="1" xfId="0" applyNumberFormat="1" applyFont="1" applyFill="1" applyBorder="1"/>
    <xf numFmtId="0" fontId="0" fillId="0" borderId="0" xfId="0" applyFont="1" applyAlignment="1"/>
    <xf numFmtId="0" fontId="0" fillId="0" borderId="0" xfId="0" applyFont="1" applyAlignment="1"/>
    <xf numFmtId="0" fontId="18" fillId="0" borderId="0" xfId="0" applyFont="1" applyAlignment="1"/>
    <xf numFmtId="0" fontId="0" fillId="0" borderId="0" xfId="0" applyFont="1" applyAlignment="1"/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164" fontId="7" fillId="0" borderId="19" xfId="0" applyNumberFormat="1" applyFont="1" applyBorder="1"/>
    <xf numFmtId="0" fontId="7" fillId="0" borderId="40" xfId="0" applyFont="1" applyBorder="1"/>
    <xf numFmtId="0" fontId="0" fillId="0" borderId="40" xfId="0" applyFont="1" applyBorder="1" applyAlignment="1"/>
    <xf numFmtId="0" fontId="0" fillId="0" borderId="0" xfId="0" applyFont="1" applyAlignment="1"/>
    <xf numFmtId="0" fontId="7" fillId="0" borderId="40" xfId="0" applyFont="1" applyBorder="1" applyAlignment="1">
      <alignment horizontal="center"/>
    </xf>
    <xf numFmtId="0" fontId="20" fillId="11" borderId="47" xfId="0" applyFont="1" applyFill="1" applyBorder="1" applyAlignment="1">
      <alignment horizontal="center" wrapText="1"/>
    </xf>
    <xf numFmtId="0" fontId="20" fillId="11" borderId="48" xfId="0" applyFont="1" applyFill="1" applyBorder="1" applyAlignment="1">
      <alignment wrapText="1"/>
    </xf>
    <xf numFmtId="0" fontId="17" fillId="11" borderId="48" xfId="0" applyFont="1" applyFill="1" applyBorder="1" applyAlignment="1">
      <alignment wrapText="1"/>
    </xf>
    <xf numFmtId="0" fontId="17" fillId="11" borderId="49" xfId="0" applyFont="1" applyFill="1" applyBorder="1" applyAlignment="1">
      <alignment wrapText="1"/>
    </xf>
    <xf numFmtId="0" fontId="21" fillId="10" borderId="47" xfId="0" applyFont="1" applyFill="1" applyBorder="1" applyAlignment="1">
      <alignment horizontal="center" wrapText="1"/>
    </xf>
    <xf numFmtId="0" fontId="21" fillId="10" borderId="48" xfId="0" applyFont="1" applyFill="1" applyBorder="1" applyAlignment="1">
      <alignment wrapText="1"/>
    </xf>
    <xf numFmtId="3" fontId="17" fillId="0" borderId="48" xfId="0" applyNumberFormat="1" applyFont="1" applyBorder="1" applyAlignment="1">
      <alignment horizontal="right" wrapText="1"/>
    </xf>
    <xf numFmtId="10" fontId="17" fillId="0" borderId="49" xfId="0" applyNumberFormat="1" applyFont="1" applyBorder="1" applyAlignment="1">
      <alignment horizontal="center" wrapText="1"/>
    </xf>
    <xf numFmtId="0" fontId="21" fillId="10" borderId="50" xfId="0" applyFont="1" applyFill="1" applyBorder="1" applyAlignment="1">
      <alignment horizontal="center" wrapText="1"/>
    </xf>
    <xf numFmtId="0" fontId="21" fillId="10" borderId="51" xfId="0" applyFont="1" applyFill="1" applyBorder="1" applyAlignment="1">
      <alignment wrapText="1"/>
    </xf>
    <xf numFmtId="3" fontId="17" fillId="0" borderId="51" xfId="0" applyNumberFormat="1" applyFont="1" applyBorder="1" applyAlignment="1">
      <alignment horizontal="right" wrapText="1"/>
    </xf>
    <xf numFmtId="10" fontId="17" fillId="0" borderId="52" xfId="0" applyNumberFormat="1" applyFont="1" applyBorder="1" applyAlignment="1">
      <alignment horizontal="center" wrapText="1"/>
    </xf>
    <xf numFmtId="3" fontId="19" fillId="12" borderId="51" xfId="0" applyNumberFormat="1" applyFont="1" applyFill="1" applyBorder="1" applyAlignment="1">
      <alignment horizontal="right" wrapText="1"/>
    </xf>
    <xf numFmtId="10" fontId="17" fillId="12" borderId="52" xfId="0" applyNumberFormat="1" applyFont="1" applyFill="1" applyBorder="1" applyAlignment="1">
      <alignment horizontal="center" wrapText="1"/>
    </xf>
    <xf numFmtId="0" fontId="17" fillId="11" borderId="53" xfId="0" applyFont="1" applyFill="1" applyBorder="1" applyAlignment="1">
      <alignment wrapText="1"/>
    </xf>
    <xf numFmtId="0" fontId="17" fillId="11" borderId="54" xfId="0" applyFont="1" applyFill="1" applyBorder="1" applyAlignment="1">
      <alignment wrapText="1"/>
    </xf>
    <xf numFmtId="0" fontId="17" fillId="11" borderId="55" xfId="0" applyFont="1" applyFill="1" applyBorder="1" applyAlignment="1">
      <alignment wrapText="1"/>
    </xf>
    <xf numFmtId="0" fontId="17" fillId="10" borderId="53" xfId="0" applyFont="1" applyFill="1" applyBorder="1" applyAlignment="1">
      <alignment wrapText="1"/>
    </xf>
    <xf numFmtId="0" fontId="20" fillId="10" borderId="54" xfId="0" applyFont="1" applyFill="1" applyBorder="1" applyAlignment="1">
      <alignment wrapText="1"/>
    </xf>
    <xf numFmtId="3" fontId="17" fillId="10" borderId="54" xfId="0" applyNumberFormat="1" applyFont="1" applyFill="1" applyBorder="1" applyAlignment="1">
      <alignment horizontal="right" wrapText="1"/>
    </xf>
    <xf numFmtId="0" fontId="17" fillId="10" borderId="55" xfId="0" applyFont="1" applyFill="1" applyBorder="1" applyAlignment="1">
      <alignment wrapText="1"/>
    </xf>
    <xf numFmtId="0" fontId="17" fillId="12" borderId="53" xfId="0" applyFont="1" applyFill="1" applyBorder="1" applyAlignment="1">
      <alignment wrapText="1"/>
    </xf>
    <xf numFmtId="0" fontId="20" fillId="12" borderId="54" xfId="0" applyFont="1" applyFill="1" applyBorder="1" applyAlignment="1">
      <alignment horizontal="center" wrapText="1"/>
    </xf>
    <xf numFmtId="3" fontId="19" fillId="12" borderId="54" xfId="0" applyNumberFormat="1" applyFont="1" applyFill="1" applyBorder="1" applyAlignment="1">
      <alignment horizontal="right" wrapText="1"/>
    </xf>
    <xf numFmtId="0" fontId="17" fillId="12" borderId="55" xfId="0" applyFont="1" applyFill="1" applyBorder="1" applyAlignment="1">
      <alignment wrapText="1"/>
    </xf>
    <xf numFmtId="0" fontId="17" fillId="0" borderId="48" xfId="0" applyFont="1" applyBorder="1" applyAlignment="1">
      <alignment horizontal="right" wrapText="1"/>
    </xf>
    <xf numFmtId="10" fontId="19" fillId="12" borderId="52" xfId="0" applyNumberFormat="1" applyFont="1" applyFill="1" applyBorder="1" applyAlignment="1">
      <alignment horizontal="center" wrapText="1"/>
    </xf>
    <xf numFmtId="0" fontId="17" fillId="12" borderId="52" xfId="0" applyFont="1" applyFill="1" applyBorder="1" applyAlignment="1">
      <alignment wrapText="1"/>
    </xf>
    <xf numFmtId="0" fontId="17" fillId="0" borderId="48" xfId="0" applyFont="1" applyBorder="1" applyAlignment="1">
      <alignment wrapText="1"/>
    </xf>
    <xf numFmtId="0" fontId="17" fillId="0" borderId="49" xfId="0" applyFont="1" applyBorder="1" applyAlignment="1">
      <alignment wrapText="1"/>
    </xf>
    <xf numFmtId="0" fontId="22" fillId="11" borderId="48" xfId="0" applyFont="1" applyFill="1" applyBorder="1" applyAlignment="1">
      <alignment wrapText="1"/>
    </xf>
    <xf numFmtId="0" fontId="22" fillId="11" borderId="47" xfId="0" applyFont="1" applyFill="1" applyBorder="1" applyAlignment="1">
      <alignment horizontal="center" wrapText="1"/>
    </xf>
    <xf numFmtId="0" fontId="0" fillId="0" borderId="60" xfId="0" applyFont="1" applyBorder="1" applyAlignment="1"/>
    <xf numFmtId="0" fontId="1" fillId="0" borderId="8" xfId="0" applyFont="1" applyBorder="1"/>
    <xf numFmtId="164" fontId="1" fillId="0" borderId="8" xfId="0" applyNumberFormat="1" applyFont="1" applyBorder="1"/>
    <xf numFmtId="0" fontId="0" fillId="0" borderId="0" xfId="0" applyFont="1" applyFill="1" applyAlignment="1"/>
    <xf numFmtId="0" fontId="1" fillId="0" borderId="8" xfId="0" applyFont="1" applyFill="1" applyBorder="1"/>
    <xf numFmtId="164" fontId="1" fillId="0" borderId="8" xfId="0" applyNumberFormat="1" applyFont="1" applyFill="1" applyBorder="1"/>
    <xf numFmtId="164" fontId="8" fillId="0" borderId="8" xfId="0" applyNumberFormat="1" applyFont="1" applyFill="1" applyBorder="1"/>
    <xf numFmtId="0" fontId="20" fillId="11" borderId="8" xfId="0" applyFont="1" applyFill="1" applyBorder="1" applyAlignment="1">
      <alignment horizontal="center" wrapText="1"/>
    </xf>
    <xf numFmtId="0" fontId="20" fillId="11" borderId="8" xfId="0" applyFont="1" applyFill="1" applyBorder="1" applyAlignment="1">
      <alignment wrapText="1"/>
    </xf>
    <xf numFmtId="0" fontId="17" fillId="11" borderId="8" xfId="0" applyFont="1" applyFill="1" applyBorder="1" applyAlignment="1">
      <alignment wrapText="1"/>
    </xf>
    <xf numFmtId="0" fontId="21" fillId="10" borderId="8" xfId="0" applyFont="1" applyFill="1" applyBorder="1" applyAlignment="1">
      <alignment horizontal="center" wrapText="1"/>
    </xf>
    <xf numFmtId="3" fontId="17" fillId="0" borderId="8" xfId="0" applyNumberFormat="1" applyFont="1" applyBorder="1" applyAlignment="1">
      <alignment horizontal="right" wrapText="1"/>
    </xf>
    <xf numFmtId="10" fontId="17" fillId="0" borderId="8" xfId="0" applyNumberFormat="1" applyFont="1" applyBorder="1" applyAlignment="1">
      <alignment horizontal="center" wrapText="1"/>
    </xf>
    <xf numFmtId="0" fontId="17" fillId="0" borderId="8" xfId="0" applyFont="1" applyBorder="1" applyAlignment="1">
      <alignment wrapText="1"/>
    </xf>
    <xf numFmtId="0" fontId="22" fillId="11" borderId="8" xfId="0" applyFont="1" applyFill="1" applyBorder="1" applyAlignment="1">
      <alignment wrapText="1"/>
    </xf>
    <xf numFmtId="0" fontId="22" fillId="11" borderId="8" xfId="0" applyFont="1" applyFill="1" applyBorder="1" applyAlignment="1">
      <alignment horizontal="center" wrapText="1"/>
    </xf>
    <xf numFmtId="3" fontId="19" fillId="12" borderId="8" xfId="0" applyNumberFormat="1" applyFont="1" applyFill="1" applyBorder="1" applyAlignment="1">
      <alignment horizontal="right" wrapText="1"/>
    </xf>
    <xf numFmtId="10" fontId="19" fillId="12" borderId="8" xfId="0" applyNumberFormat="1" applyFont="1" applyFill="1" applyBorder="1" applyAlignment="1">
      <alignment horizontal="center" wrapText="1"/>
    </xf>
    <xf numFmtId="0" fontId="1" fillId="0" borderId="37" xfId="0" applyFont="1" applyBorder="1"/>
    <xf numFmtId="0" fontId="1" fillId="0" borderId="28" xfId="0" applyFont="1" applyBorder="1"/>
    <xf numFmtId="0" fontId="24" fillId="0" borderId="40" xfId="0" applyFont="1" applyBorder="1" applyAlignment="1">
      <alignment horizontal="center"/>
    </xf>
    <xf numFmtId="0" fontId="24" fillId="0" borderId="60" xfId="0" applyFont="1" applyBorder="1" applyAlignment="1">
      <alignment horizontal="center"/>
    </xf>
    <xf numFmtId="0" fontId="0" fillId="14" borderId="0" xfId="0" applyFont="1" applyFill="1" applyAlignment="1"/>
    <xf numFmtId="164" fontId="1" fillId="14" borderId="8" xfId="0" applyNumberFormat="1" applyFont="1" applyFill="1" applyBorder="1"/>
    <xf numFmtId="164" fontId="8" fillId="14" borderId="8" xfId="0" applyNumberFormat="1" applyFont="1" applyFill="1" applyBorder="1"/>
    <xf numFmtId="0" fontId="8" fillId="14" borderId="8" xfId="0" applyFont="1" applyFill="1" applyBorder="1"/>
    <xf numFmtId="0" fontId="8" fillId="15" borderId="8" xfId="0" applyFont="1" applyFill="1" applyBorder="1"/>
    <xf numFmtId="0" fontId="8" fillId="0" borderId="8" xfId="0" applyFont="1" applyBorder="1"/>
    <xf numFmtId="0" fontId="9" fillId="0" borderId="8" xfId="0" applyFont="1" applyBorder="1" applyAlignment="1">
      <alignment wrapText="1"/>
    </xf>
    <xf numFmtId="0" fontId="8" fillId="13" borderId="8" xfId="0" applyFont="1" applyFill="1" applyBorder="1"/>
    <xf numFmtId="0" fontId="1" fillId="13" borderId="8" xfId="0" applyFont="1" applyFill="1" applyBorder="1"/>
    <xf numFmtId="164" fontId="8" fillId="13" borderId="8" xfId="0" applyNumberFormat="1" applyFont="1" applyFill="1" applyBorder="1"/>
    <xf numFmtId="164" fontId="1" fillId="13" borderId="8" xfId="0" applyNumberFormat="1" applyFont="1" applyFill="1" applyBorder="1"/>
    <xf numFmtId="0" fontId="0" fillId="0" borderId="8" xfId="0" applyFont="1" applyBorder="1" applyAlignment="1"/>
    <xf numFmtId="0" fontId="23" fillId="0" borderId="8" xfId="0" applyFont="1" applyBorder="1" applyAlignment="1"/>
    <xf numFmtId="0" fontId="1" fillId="0" borderId="23" xfId="0" applyFont="1" applyBorder="1"/>
    <xf numFmtId="0" fontId="6" fillId="6" borderId="19" xfId="0" applyFont="1" applyFill="1" applyBorder="1" applyAlignment="1">
      <alignment horizontal="center" vertical="center"/>
    </xf>
    <xf numFmtId="0" fontId="1" fillId="0" borderId="25" xfId="0" applyFont="1" applyBorder="1"/>
    <xf numFmtId="0" fontId="1" fillId="0" borderId="10" xfId="0" applyFont="1" applyBorder="1"/>
    <xf numFmtId="0" fontId="17" fillId="0" borderId="40" xfId="0" applyFont="1" applyBorder="1" applyAlignment="1"/>
    <xf numFmtId="0" fontId="26" fillId="0" borderId="40" xfId="0" applyFont="1" applyBorder="1" applyAlignment="1"/>
    <xf numFmtId="166" fontId="17" fillId="0" borderId="40" xfId="0" applyNumberFormat="1" applyFont="1" applyBorder="1" applyAlignment="1"/>
    <xf numFmtId="0" fontId="1" fillId="0" borderId="19" xfId="0" applyFont="1" applyBorder="1"/>
    <xf numFmtId="14" fontId="1" fillId="0" borderId="19" xfId="0" applyNumberFormat="1" applyFont="1" applyBorder="1"/>
    <xf numFmtId="0" fontId="1" fillId="0" borderId="35" xfId="0" applyFont="1" applyBorder="1"/>
    <xf numFmtId="0" fontId="26" fillId="0" borderId="60" xfId="0" applyFont="1" applyBorder="1" applyAlignment="1"/>
    <xf numFmtId="0" fontId="1" fillId="0" borderId="33" xfId="0" applyFont="1" applyBorder="1"/>
    <xf numFmtId="166" fontId="17" fillId="0" borderId="60" xfId="0" applyNumberFormat="1" applyFont="1" applyBorder="1" applyAlignment="1"/>
    <xf numFmtId="14" fontId="1" fillId="0" borderId="10" xfId="0" applyNumberFormat="1" applyFont="1" applyBorder="1"/>
    <xf numFmtId="0" fontId="1" fillId="0" borderId="38" xfId="0" applyFont="1" applyBorder="1"/>
    <xf numFmtId="166" fontId="17" fillId="0" borderId="61" xfId="0" applyNumberFormat="1" applyFont="1" applyBorder="1" applyAlignment="1"/>
    <xf numFmtId="14" fontId="1" fillId="0" borderId="40" xfId="0" applyNumberFormat="1" applyFont="1" applyBorder="1"/>
    <xf numFmtId="0" fontId="1" fillId="0" borderId="40" xfId="0" applyFont="1" applyBorder="1"/>
    <xf numFmtId="0" fontId="1" fillId="0" borderId="30" xfId="0" applyFont="1" applyBorder="1"/>
    <xf numFmtId="0" fontId="1" fillId="0" borderId="60" xfId="0" applyFont="1" applyBorder="1"/>
    <xf numFmtId="0" fontId="17" fillId="0" borderId="61" xfId="0" applyFont="1" applyBorder="1" applyAlignment="1"/>
    <xf numFmtId="0" fontId="4" fillId="5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8" fillId="6" borderId="2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6" fillId="6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6" fillId="7" borderId="7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7" borderId="11" xfId="0" applyFont="1" applyFill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8" fillId="7" borderId="14" xfId="0" applyFont="1" applyFill="1" applyBorder="1" applyAlignment="1">
      <alignment horizontal="center"/>
    </xf>
    <xf numFmtId="0" fontId="5" fillId="0" borderId="15" xfId="0" applyFont="1" applyBorder="1"/>
    <xf numFmtId="0" fontId="8" fillId="7" borderId="16" xfId="0" applyFont="1" applyFill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8" fillId="6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center" wrapText="1"/>
    </xf>
    <xf numFmtId="0" fontId="19" fillId="0" borderId="41" xfId="0" applyFont="1" applyBorder="1" applyAlignment="1">
      <alignment horizontal="center" wrapText="1"/>
    </xf>
    <xf numFmtId="0" fontId="19" fillId="0" borderId="42" xfId="0" applyFont="1" applyBorder="1" applyAlignment="1">
      <alignment horizontal="center" wrapText="1"/>
    </xf>
    <xf numFmtId="0" fontId="19" fillId="0" borderId="43" xfId="0" applyFont="1" applyBorder="1" applyAlignment="1">
      <alignment horizontal="center" wrapText="1"/>
    </xf>
    <xf numFmtId="0" fontId="19" fillId="0" borderId="44" xfId="0" applyFont="1" applyBorder="1" applyAlignment="1">
      <alignment horizontal="center" wrapText="1"/>
    </xf>
    <xf numFmtId="0" fontId="19" fillId="0" borderId="45" xfId="0" applyFont="1" applyBorder="1" applyAlignment="1">
      <alignment horizontal="center" wrapText="1"/>
    </xf>
    <xf numFmtId="0" fontId="19" fillId="0" borderId="46" xfId="0" applyFont="1" applyBorder="1" applyAlignment="1">
      <alignment horizontal="center" wrapText="1"/>
    </xf>
    <xf numFmtId="0" fontId="8" fillId="15" borderId="8" xfId="0" applyFont="1" applyFill="1" applyBorder="1" applyAlignment="1">
      <alignment horizontal="center"/>
    </xf>
    <xf numFmtId="0" fontId="8" fillId="15" borderId="7" xfId="0" applyFont="1" applyFill="1" applyBorder="1" applyAlignment="1">
      <alignment horizontal="center"/>
    </xf>
    <xf numFmtId="0" fontId="22" fillId="12" borderId="58" xfId="0" applyFont="1" applyFill="1" applyBorder="1" applyAlignment="1">
      <alignment horizontal="center" wrapText="1"/>
    </xf>
    <xf numFmtId="0" fontId="22" fillId="12" borderId="59" xfId="0" applyFont="1" applyFill="1" applyBorder="1" applyAlignment="1">
      <alignment horizontal="center" wrapText="1"/>
    </xf>
    <xf numFmtId="0" fontId="22" fillId="12" borderId="56" xfId="0" applyFont="1" applyFill="1" applyBorder="1" applyAlignment="1">
      <alignment horizontal="center" wrapText="1"/>
    </xf>
    <xf numFmtId="0" fontId="22" fillId="12" borderId="57" xfId="0" applyFont="1" applyFill="1" applyBorder="1" applyAlignment="1">
      <alignment horizontal="center" wrapText="1"/>
    </xf>
    <xf numFmtId="0" fontId="13" fillId="7" borderId="21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BALANCE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'NRC STLH PENUTUPAN'!$B$7:$B$31</c:f>
              <c:strCache>
                <c:ptCount val="11"/>
                <c:pt idx="0">
                  <c:v>Kode Akun</c:v>
                </c:pt>
                <c:pt idx="1">
                  <c:v>1101</c:v>
                </c:pt>
                <c:pt idx="2">
                  <c:v>1102</c:v>
                </c:pt>
                <c:pt idx="3">
                  <c:v>1103</c:v>
                </c:pt>
                <c:pt idx="4">
                  <c:v>1104</c:v>
                </c:pt>
                <c:pt idx="5">
                  <c:v>1105</c:v>
                </c:pt>
                <c:pt idx="6">
                  <c:v>1106</c:v>
                </c:pt>
                <c:pt idx="7">
                  <c:v>1201</c:v>
                </c:pt>
                <c:pt idx="8">
                  <c:v>2101</c:v>
                </c:pt>
                <c:pt idx="9">
                  <c:v>2102</c:v>
                </c:pt>
                <c:pt idx="10">
                  <c:v>3101</c:v>
                </c:pt>
              </c:strCache>
            </c:strRef>
          </c:cat>
          <c:val>
            <c:numRef>
              <c:f>'NRC STLH PENUTUPAN'!$C$7:$C$31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1B-43C1-9FEC-D542CA209F3F}"/>
            </c:ext>
          </c:extLst>
        </c:ser>
        <c:ser>
          <c:idx val="1"/>
          <c:order val="1"/>
          <c:tx>
            <c:v>34589000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'NRC STLH PENUTUPAN'!$B$7:$B$31</c:f>
              <c:strCache>
                <c:ptCount val="11"/>
                <c:pt idx="0">
                  <c:v>Kode Akun</c:v>
                </c:pt>
                <c:pt idx="1">
                  <c:v>1101</c:v>
                </c:pt>
                <c:pt idx="2">
                  <c:v>1102</c:v>
                </c:pt>
                <c:pt idx="3">
                  <c:v>1103</c:v>
                </c:pt>
                <c:pt idx="4">
                  <c:v>1104</c:v>
                </c:pt>
                <c:pt idx="5">
                  <c:v>1105</c:v>
                </c:pt>
                <c:pt idx="6">
                  <c:v>1106</c:v>
                </c:pt>
                <c:pt idx="7">
                  <c:v>1201</c:v>
                </c:pt>
                <c:pt idx="8">
                  <c:v>2101</c:v>
                </c:pt>
                <c:pt idx="9">
                  <c:v>2102</c:v>
                </c:pt>
                <c:pt idx="10">
                  <c:v>3101</c:v>
                </c:pt>
              </c:strCache>
            </c:strRef>
          </c:cat>
          <c:val>
            <c:numRef>
              <c:f>'NRC STLH PENUTUPAN'!$D$7:$D$31</c:f>
              <c:numCache>
                <c:formatCode>_-"Rp"* #,##0_-;\-"Rp"* #,##0_-;_-"Rp"* "-"_-;_-@</c:formatCode>
                <c:ptCount val="2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-515685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1B-43C1-9FEC-D542CA209F3F}"/>
            </c:ext>
          </c:extLst>
        </c:ser>
        <c:ser>
          <c:idx val="2"/>
          <c:order val="2"/>
          <c:invertIfNegative val="1"/>
          <c:cat>
            <c:strRef>
              <c:f>'NRC STLH PENUTUPAN'!$B$7:$B$31</c:f>
              <c:strCache>
                <c:ptCount val="11"/>
                <c:pt idx="0">
                  <c:v>Kode Akun</c:v>
                </c:pt>
                <c:pt idx="1">
                  <c:v>1101</c:v>
                </c:pt>
                <c:pt idx="2">
                  <c:v>1102</c:v>
                </c:pt>
                <c:pt idx="3">
                  <c:v>1103</c:v>
                </c:pt>
                <c:pt idx="4">
                  <c:v>1104</c:v>
                </c:pt>
                <c:pt idx="5">
                  <c:v>1105</c:v>
                </c:pt>
                <c:pt idx="6">
                  <c:v>1106</c:v>
                </c:pt>
                <c:pt idx="7">
                  <c:v>1201</c:v>
                </c:pt>
                <c:pt idx="8">
                  <c:v>2101</c:v>
                </c:pt>
                <c:pt idx="9">
                  <c:v>2102</c:v>
                </c:pt>
                <c:pt idx="10">
                  <c:v>3101</c:v>
                </c:pt>
              </c:strCache>
            </c:strRef>
          </c:cat>
          <c:val>
            <c:numRef>
              <c:f>'NRC STLH PENUTUPAN'!$E$6:$E$31</c:f>
              <c:numCache>
                <c:formatCode>General</c:formatCode>
                <c:ptCount val="26"/>
                <c:pt idx="0" formatCode="_-&quot;Rp&quot;* #,##0_-;\-&quot;Rp&quot;* #,##0_-;_-&quot;Rp&quot;* &quot;-&quot;_-;_-@">
                  <c:v>#N/A</c:v>
                </c:pt>
                <c:pt idx="1">
                  <c:v>0</c:v>
                </c:pt>
                <c:pt idx="9" formatCode="_-&quot;Rp&quot;* #,##0_-;\-&quot;Rp&quot;* #,##0_-;_-&quot;Rp&quot;* &quot;-&quot;_-;_-@">
                  <c:v>0</c:v>
                </c:pt>
                <c:pt idx="10" formatCode="_-&quot;Rp&quot;* #,##0_-;\-&quot;Rp&quot;* #,##0_-;_-&quot;Rp&quot;* &quot;-&quot;_-;_-@">
                  <c:v>-105901167</c:v>
                </c:pt>
                <c:pt idx="11" formatCode="_-&quot;Rp&quot;* #,##0_-;\-&quot;Rp&quot;* #,##0_-;_-&quot;Rp&quot;* &quot;-&quot;_-;_-@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B-43C1-9FEC-D542CA209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005304"/>
        <c:axId val="12110868"/>
      </c:barChart>
      <c:catAx>
        <c:axId val="1674005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10868"/>
        <c:crosses val="autoZero"/>
        <c:auto val="1"/>
        <c:lblAlgn val="ctr"/>
        <c:lblOffset val="100"/>
        <c:noMultiLvlLbl val="1"/>
      </c:catAx>
      <c:valAx>
        <c:axId val="12110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4005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LPE!A1"/><Relationship Id="rId3" Type="http://schemas.openxmlformats.org/officeDocument/2006/relationships/hyperlink" Target="#JURNAL!A1"/><Relationship Id="rId7" Type="http://schemas.openxmlformats.org/officeDocument/2006/relationships/hyperlink" Target="#NRC!A1"/><Relationship Id="rId12" Type="http://schemas.openxmlformats.org/officeDocument/2006/relationships/hyperlink" Target="#'Kode%20Bantu'!A1"/><Relationship Id="rId2" Type="http://schemas.openxmlformats.org/officeDocument/2006/relationships/hyperlink" Target="#CONTROL!A1"/><Relationship Id="rId1" Type="http://schemas.openxmlformats.org/officeDocument/2006/relationships/hyperlink" Target="#COA!A1"/><Relationship Id="rId6" Type="http://schemas.openxmlformats.org/officeDocument/2006/relationships/hyperlink" Target="#LR!A1"/><Relationship Id="rId11" Type="http://schemas.openxmlformats.org/officeDocument/2006/relationships/hyperlink" Target="#'NRC%20STLH%20PENUTUPAN'!A1"/><Relationship Id="rId5" Type="http://schemas.openxmlformats.org/officeDocument/2006/relationships/hyperlink" Target="#NRL!A1"/><Relationship Id="rId10" Type="http://schemas.openxmlformats.org/officeDocument/2006/relationships/hyperlink" Target="#LAK!A1"/><Relationship Id="rId4" Type="http://schemas.openxmlformats.org/officeDocument/2006/relationships/hyperlink" Target="#'BUKU%20BESAR'!A1"/><Relationship Id="rId9" Type="http://schemas.openxmlformats.org/officeDocument/2006/relationships/hyperlink" Target="#JP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18</xdr:row>
      <xdr:rowOff>47625</xdr:rowOff>
    </xdr:from>
    <xdr:ext cx="1171575" cy="6477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69738" y="3465675"/>
          <a:ext cx="1152525" cy="628650"/>
        </a:xfrm>
        <a:prstGeom prst="ellipse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COA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22</xdr:row>
      <xdr:rowOff>114300</xdr:rowOff>
    </xdr:from>
    <xdr:ext cx="1181100" cy="71437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764975" y="3432338"/>
          <a:ext cx="1162050" cy="695325"/>
        </a:xfrm>
        <a:prstGeom prst="ellipse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900"/>
            <a:buFont typeface="Times New Roman"/>
            <a:buNone/>
          </a:pPr>
          <a:r>
            <a:rPr lang="en-US" sz="9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CONTROL</a:t>
          </a:r>
          <a:endParaRPr sz="1400"/>
        </a:p>
      </xdr:txBody>
    </xdr:sp>
    <xdr:clientData fLocksWithSheet="0"/>
  </xdr:oneCellAnchor>
  <xdr:oneCellAnchor>
    <xdr:from>
      <xdr:col>2</xdr:col>
      <xdr:colOff>381000</xdr:colOff>
      <xdr:row>18</xdr:row>
      <xdr:rowOff>-19050</xdr:rowOff>
    </xdr:from>
    <xdr:ext cx="1485900" cy="771525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12575" y="3403763"/>
          <a:ext cx="1466850" cy="75247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Jurnal</a:t>
          </a:r>
          <a:endParaRPr sz="1400"/>
        </a:p>
      </xdr:txBody>
    </xdr:sp>
    <xdr:clientData fLocksWithSheet="0"/>
  </xdr:oneCellAnchor>
  <xdr:oneCellAnchor>
    <xdr:from>
      <xdr:col>5</xdr:col>
      <xdr:colOff>285750</xdr:colOff>
      <xdr:row>18</xdr:row>
      <xdr:rowOff>-9525</xdr:rowOff>
    </xdr:from>
    <xdr:ext cx="1076325" cy="771525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817363" y="3403763"/>
          <a:ext cx="1057275" cy="75247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Buku Besar</a:t>
          </a:r>
          <a:endParaRPr sz="1400"/>
        </a:p>
      </xdr:txBody>
    </xdr:sp>
    <xdr:clientData fLocksWithSheet="0"/>
  </xdr:oneCellAnchor>
  <xdr:oneCellAnchor>
    <xdr:from>
      <xdr:col>5</xdr:col>
      <xdr:colOff>285750</xdr:colOff>
      <xdr:row>22</xdr:row>
      <xdr:rowOff>123825</xdr:rowOff>
    </xdr:from>
    <xdr:ext cx="1076325" cy="790575"/>
    <xdr:sp macro="" textlink="">
      <xdr:nvSpPr>
        <xdr:cNvPr id="7" name="Sha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17363" y="3394238"/>
          <a:ext cx="1057275" cy="77152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Neraca Lajur</a:t>
          </a:r>
          <a:endParaRPr sz="1400"/>
        </a:p>
      </xdr:txBody>
    </xdr:sp>
    <xdr:clientData fLocksWithSheet="0"/>
  </xdr:oneCellAnchor>
  <xdr:oneCellAnchor>
    <xdr:from>
      <xdr:col>8</xdr:col>
      <xdr:colOff>171450</xdr:colOff>
      <xdr:row>18</xdr:row>
      <xdr:rowOff>-9525</xdr:rowOff>
    </xdr:from>
    <xdr:ext cx="1504950" cy="771525"/>
    <xdr:sp macro="" textlink="">
      <xdr:nvSpPr>
        <xdr:cNvPr id="8" name="Shap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603050" y="3403763"/>
          <a:ext cx="1485900" cy="75247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Laba Rugi</a:t>
          </a:r>
          <a:endParaRPr sz="12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57150</xdr:colOff>
      <xdr:row>22</xdr:row>
      <xdr:rowOff>85725</xdr:rowOff>
    </xdr:from>
    <xdr:ext cx="1504950" cy="790575"/>
    <xdr:sp macro="" textlink="">
      <xdr:nvSpPr>
        <xdr:cNvPr id="9" name="Shap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03050" y="3394238"/>
          <a:ext cx="1485900" cy="77152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Neraca</a:t>
          </a:r>
          <a:endParaRPr sz="1400"/>
        </a:p>
      </xdr:txBody>
    </xdr:sp>
    <xdr:clientData fLocksWithSheet="0"/>
  </xdr:oneCellAnchor>
  <xdr:oneCellAnchor>
    <xdr:from>
      <xdr:col>8</xdr:col>
      <xdr:colOff>180975</xdr:colOff>
      <xdr:row>22</xdr:row>
      <xdr:rowOff>114300</xdr:rowOff>
    </xdr:from>
    <xdr:ext cx="1504950" cy="790575"/>
    <xdr:sp macro="" textlink="">
      <xdr:nvSpPr>
        <xdr:cNvPr id="10" name="Shap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603050" y="3394238"/>
          <a:ext cx="1485900" cy="77152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LPE</a:t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18</xdr:row>
      <xdr:rowOff>-9525</xdr:rowOff>
    </xdr:from>
    <xdr:ext cx="1504950" cy="771525"/>
    <xdr:sp macro="" textlink="">
      <xdr:nvSpPr>
        <xdr:cNvPr id="11" name="Shap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603050" y="3403763"/>
          <a:ext cx="1485900" cy="75247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000"/>
            <a:buFont typeface="Times New Roman"/>
            <a:buNone/>
          </a:pPr>
          <a:r>
            <a:rPr lang="en-US" sz="10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Jurnal Penutup</a:t>
          </a:r>
          <a:endParaRPr sz="1400"/>
        </a:p>
      </xdr:txBody>
    </xdr:sp>
    <xdr:clientData fLocksWithSheet="0"/>
  </xdr:oneCellAnchor>
  <xdr:oneCellAnchor>
    <xdr:from>
      <xdr:col>11</xdr:col>
      <xdr:colOff>57150</xdr:colOff>
      <xdr:row>18</xdr:row>
      <xdr:rowOff>-9525</xdr:rowOff>
    </xdr:from>
    <xdr:ext cx="1504950" cy="771525"/>
    <xdr:sp macro="" textlink="">
      <xdr:nvSpPr>
        <xdr:cNvPr id="12" name="Shap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03050" y="3403763"/>
          <a:ext cx="1485900" cy="75247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LAK</a:t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22</xdr:row>
      <xdr:rowOff>76200</xdr:rowOff>
    </xdr:from>
    <xdr:ext cx="1504950" cy="790575"/>
    <xdr:sp macro="" textlink="">
      <xdr:nvSpPr>
        <xdr:cNvPr id="13" name="Shap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603050" y="3394238"/>
          <a:ext cx="1485900" cy="77152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700"/>
            <a:buFont typeface="Times New Roman"/>
            <a:buNone/>
          </a:pPr>
          <a:r>
            <a:rPr lang="en-US" sz="7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Neraca Setelah Penutupan</a:t>
          </a:r>
          <a:endParaRPr sz="7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342900</xdr:colOff>
      <xdr:row>22</xdr:row>
      <xdr:rowOff>123825</xdr:rowOff>
    </xdr:from>
    <xdr:ext cx="1485900" cy="790575"/>
    <xdr:sp macro="" textlink="">
      <xdr:nvSpPr>
        <xdr:cNvPr id="14" name="Shap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612575" y="3394238"/>
          <a:ext cx="1466850" cy="771525"/>
        </a:xfrm>
        <a:prstGeom prst="hexagon">
          <a:avLst>
            <a:gd name="adj" fmla="val 25000"/>
            <a:gd name="vf" fmla="val 11547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Times New Roman"/>
            <a:buNone/>
          </a:pPr>
          <a:r>
            <a:rPr lang="en-US" sz="1200" b="1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Kode Bantu</a:t>
          </a:r>
          <a:endParaRPr sz="12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-9525</xdr:rowOff>
    </xdr:from>
    <xdr:ext cx="762000" cy="428625"/>
    <xdr:sp macro="" textlink="">
      <xdr:nvSpPr>
        <xdr:cNvPr id="15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16" name="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1</xdr:row>
      <xdr:rowOff>-28575</xdr:rowOff>
    </xdr:from>
    <xdr:ext cx="762000" cy="419100"/>
    <xdr:sp macro="" textlink="">
      <xdr:nvSpPr>
        <xdr:cNvPr id="17" name="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974525" y="3579975"/>
          <a:ext cx="742950" cy="4000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18" name="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19" name="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20" name="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09575"/>
    <xdr:sp macro="" textlink="">
      <xdr:nvSpPr>
        <xdr:cNvPr id="21" name="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19100"/>
    <xdr:sp macro="" textlink="">
      <xdr:nvSpPr>
        <xdr:cNvPr id="22" name="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974525" y="3579975"/>
          <a:ext cx="742950" cy="4000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23" name="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24" name="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-28575</xdr:colOff>
      <xdr:row>0</xdr:row>
      <xdr:rowOff>-28575</xdr:rowOff>
    </xdr:from>
    <xdr:ext cx="762000" cy="428625"/>
    <xdr:sp macro="" textlink="">
      <xdr:nvSpPr>
        <xdr:cNvPr id="25" name="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4974525" y="3575213"/>
          <a:ext cx="742950" cy="4095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BACK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J12" sqref="J12"/>
    </sheetView>
  </sheetViews>
  <sheetFormatPr baseColWidth="10" defaultColWidth="12.6640625" defaultRowHeight="15" customHeight="1" x14ac:dyDescent="0.15"/>
  <cols>
    <col min="1" max="1" width="9.1640625" customWidth="1"/>
    <col min="2" max="2" width="9.83203125" customWidth="1"/>
    <col min="3" max="5" width="8.6640625" customWidth="1"/>
    <col min="6" max="6" width="2.6640625" customWidth="1"/>
    <col min="7" max="26" width="8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">
      <c r="A5" s="3"/>
      <c r="B5" s="3"/>
      <c r="C5" s="4"/>
      <c r="D5" s="5"/>
      <c r="E5" s="5"/>
      <c r="F5" s="6"/>
      <c r="G5" s="6"/>
      <c r="H5" s="6"/>
      <c r="I5" s="6"/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.5" customHeight="1" x14ac:dyDescent="0.2">
      <c r="A6" s="3"/>
      <c r="B6" s="3"/>
      <c r="C6" s="6"/>
      <c r="D6" s="6"/>
      <c r="E6" s="6"/>
      <c r="F6" s="6"/>
      <c r="G6" s="6"/>
      <c r="H6" s="6"/>
      <c r="I6" s="6"/>
      <c r="J6" s="6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x14ac:dyDescent="0.2">
      <c r="A17" s="7"/>
      <c r="B17" s="7"/>
      <c r="C17" s="9" t="s">
        <v>0</v>
      </c>
      <c r="D17" s="9"/>
      <c r="E17" s="9"/>
      <c r="F17" s="9"/>
      <c r="G17" s="9"/>
      <c r="H17" s="9"/>
      <c r="I17" s="9"/>
      <c r="J17" s="8"/>
      <c r="K17" s="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x14ac:dyDescent="0.2">
      <c r="A18" s="7"/>
      <c r="B18" s="7"/>
      <c r="C18" s="9"/>
      <c r="D18" s="9"/>
      <c r="E18" s="9"/>
      <c r="F18" s="9"/>
      <c r="G18" s="9"/>
      <c r="H18" s="9"/>
      <c r="I18" s="9"/>
      <c r="J18" s="8"/>
      <c r="K18" s="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3"/>
      <c r="B19" s="3"/>
      <c r="C19" s="6"/>
      <c r="D19" s="6"/>
      <c r="E19" s="6"/>
      <c r="F19" s="6"/>
      <c r="G19" s="6"/>
      <c r="H19" s="6"/>
      <c r="I19" s="6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6"/>
      <c r="D20" s="6"/>
      <c r="E20" s="6"/>
      <c r="F20" s="6"/>
      <c r="G20" s="6"/>
      <c r="H20" s="6"/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6"/>
      <c r="D21" s="6"/>
      <c r="E21" s="6"/>
      <c r="F21" s="6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15">
      <c r="C28" s="8"/>
      <c r="D28" s="8"/>
      <c r="E28" s="8"/>
      <c r="F28" s="8"/>
      <c r="G28" s="8"/>
      <c r="H28" s="8"/>
      <c r="I28" s="8"/>
      <c r="J28" s="8"/>
      <c r="K28" s="8"/>
    </row>
    <row r="29" spans="1:26" ht="15.75" customHeight="1" x14ac:dyDescent="0.15">
      <c r="C29" s="8"/>
      <c r="D29" s="8"/>
      <c r="E29" s="8"/>
      <c r="F29" s="8"/>
      <c r="G29" s="8"/>
      <c r="H29" s="8"/>
      <c r="I29" s="8"/>
      <c r="J29" s="8"/>
      <c r="K29" s="8"/>
    </row>
    <row r="30" spans="1:26" ht="15.75" customHeight="1" x14ac:dyDescent="0.15">
      <c r="C30" s="8"/>
      <c r="D30" s="8"/>
      <c r="E30" s="8"/>
      <c r="F30" s="8"/>
      <c r="G30" s="8"/>
      <c r="H30" s="8"/>
      <c r="I30" s="8"/>
      <c r="J30" s="8"/>
      <c r="K30" s="8"/>
    </row>
    <row r="31" spans="1:26" ht="15.75" customHeight="1" x14ac:dyDescent="0.15">
      <c r="C31" s="8"/>
      <c r="D31" s="8"/>
      <c r="E31" s="8"/>
      <c r="F31" s="8"/>
      <c r="G31" s="8"/>
      <c r="H31" s="8"/>
      <c r="I31" s="8"/>
      <c r="J31" s="8"/>
      <c r="K31" s="8"/>
    </row>
    <row r="32" spans="1:26" ht="15.75" customHeight="1" x14ac:dyDescent="0.15">
      <c r="C32" s="8"/>
      <c r="D32" s="8"/>
      <c r="E32" s="8"/>
      <c r="F32" s="8"/>
      <c r="G32" s="8"/>
      <c r="H32" s="8"/>
      <c r="I32" s="8"/>
      <c r="J32" s="8"/>
      <c r="K32" s="8"/>
    </row>
    <row r="33" spans="3:11" ht="15.75" customHeight="1" x14ac:dyDescent="0.15">
      <c r="C33" s="8"/>
      <c r="D33" s="8"/>
      <c r="E33" s="8"/>
      <c r="F33" s="8"/>
      <c r="G33" s="8"/>
      <c r="H33" s="8"/>
      <c r="I33" s="8"/>
      <c r="J33" s="8"/>
      <c r="K33" s="8"/>
    </row>
    <row r="34" spans="3:11" ht="15.75" customHeight="1" x14ac:dyDescent="0.15">
      <c r="C34" s="8"/>
      <c r="D34" s="8"/>
      <c r="E34" s="8"/>
      <c r="F34" s="8"/>
      <c r="G34" s="8"/>
      <c r="H34" s="8"/>
      <c r="I34" s="8"/>
      <c r="J34" s="8"/>
      <c r="K34" s="8"/>
    </row>
    <row r="35" spans="3:11" ht="15.75" customHeight="1" x14ac:dyDescent="0.15">
      <c r="C35" s="8"/>
      <c r="D35" s="8"/>
      <c r="E35" s="8"/>
      <c r="F35" s="8"/>
      <c r="G35" s="8"/>
      <c r="H35" s="8"/>
      <c r="I35" s="8"/>
      <c r="J35" s="8"/>
      <c r="K35" s="8"/>
    </row>
    <row r="36" spans="3:11" ht="15.75" customHeight="1" x14ac:dyDescent="0.15">
      <c r="C36" s="8"/>
      <c r="D36" s="8"/>
      <c r="E36" s="8"/>
      <c r="F36" s="8"/>
      <c r="G36" s="8"/>
      <c r="H36" s="8"/>
      <c r="I36" s="8"/>
      <c r="J36" s="8"/>
      <c r="K36" s="8"/>
    </row>
    <row r="37" spans="3:11" ht="15.75" customHeight="1" x14ac:dyDescent="0.15">
      <c r="C37" s="8"/>
      <c r="D37" s="8"/>
      <c r="E37" s="8"/>
      <c r="F37" s="8"/>
      <c r="G37" s="8"/>
      <c r="H37" s="8"/>
      <c r="I37" s="8"/>
      <c r="J37" s="8"/>
      <c r="K37" s="8"/>
    </row>
    <row r="38" spans="3:11" ht="15.75" customHeight="1" x14ac:dyDescent="0.15">
      <c r="C38" s="8"/>
      <c r="D38" s="8"/>
      <c r="E38" s="8"/>
      <c r="F38" s="8"/>
      <c r="G38" s="8"/>
      <c r="H38" s="8"/>
      <c r="I38" s="8"/>
      <c r="J38" s="8"/>
      <c r="K38" s="8"/>
    </row>
    <row r="39" spans="3:11" ht="15.75" customHeight="1" x14ac:dyDescent="0.15">
      <c r="C39" s="8"/>
      <c r="D39" s="8"/>
      <c r="E39" s="8"/>
      <c r="F39" s="8"/>
      <c r="G39" s="8"/>
      <c r="H39" s="8"/>
      <c r="I39" s="8"/>
      <c r="J39" s="8"/>
      <c r="K39" s="8"/>
    </row>
    <row r="40" spans="3:11" ht="15.75" customHeight="1" x14ac:dyDescent="0.15">
      <c r="C40" s="8"/>
      <c r="D40" s="8"/>
      <c r="E40" s="8"/>
      <c r="F40" s="8"/>
      <c r="G40" s="8"/>
      <c r="H40" s="8"/>
      <c r="I40" s="8"/>
      <c r="J40" s="8"/>
      <c r="K40" s="8"/>
    </row>
    <row r="41" spans="3:11" ht="15.75" customHeight="1" x14ac:dyDescent="0.15">
      <c r="C41" s="8"/>
      <c r="D41" s="8"/>
      <c r="E41" s="8"/>
      <c r="F41" s="8"/>
      <c r="G41" s="8"/>
      <c r="H41" s="8"/>
      <c r="I41" s="8"/>
      <c r="J41" s="8"/>
      <c r="K41" s="8"/>
    </row>
    <row r="42" spans="3:11" ht="15.75" customHeight="1" x14ac:dyDescent="0.15">
      <c r="C42" s="8"/>
      <c r="D42" s="8"/>
      <c r="E42" s="8"/>
      <c r="F42" s="8"/>
      <c r="G42" s="8"/>
      <c r="H42" s="8"/>
      <c r="I42" s="8"/>
      <c r="J42" s="8"/>
      <c r="K42" s="8"/>
    </row>
    <row r="43" spans="3:11" ht="15.75" customHeight="1" x14ac:dyDescent="0.15">
      <c r="C43" s="8"/>
      <c r="D43" s="8"/>
      <c r="E43" s="8"/>
      <c r="F43" s="8"/>
      <c r="G43" s="8"/>
      <c r="H43" s="8"/>
      <c r="I43" s="8"/>
      <c r="J43" s="8"/>
      <c r="K43" s="8"/>
    </row>
    <row r="44" spans="3:11" ht="15.75" customHeight="1" x14ac:dyDescent="0.15">
      <c r="C44" s="8"/>
      <c r="D44" s="8"/>
      <c r="E44" s="8"/>
      <c r="F44" s="8"/>
      <c r="G44" s="8"/>
      <c r="H44" s="8"/>
      <c r="I44" s="8"/>
      <c r="J44" s="8"/>
      <c r="K44" s="8"/>
    </row>
    <row r="45" spans="3:11" ht="15.75" customHeight="1" x14ac:dyDescent="0.15">
      <c r="C45" s="8"/>
      <c r="D45" s="8"/>
      <c r="E45" s="8"/>
      <c r="F45" s="8"/>
      <c r="G45" s="8"/>
      <c r="H45" s="8"/>
      <c r="I45" s="8"/>
      <c r="J45" s="8"/>
      <c r="K45" s="8"/>
    </row>
    <row r="46" spans="3:11" ht="15.75" customHeight="1" x14ac:dyDescent="0.15">
      <c r="C46" s="8"/>
      <c r="D46" s="8"/>
      <c r="E46" s="8"/>
      <c r="F46" s="8"/>
      <c r="G46" s="8"/>
      <c r="H46" s="8"/>
      <c r="I46" s="8"/>
      <c r="J46" s="8"/>
      <c r="K46" s="8"/>
    </row>
    <row r="47" spans="3:11" ht="15.75" customHeight="1" x14ac:dyDescent="0.15">
      <c r="C47" s="8"/>
      <c r="D47" s="8"/>
      <c r="E47" s="8"/>
      <c r="F47" s="8"/>
      <c r="G47" s="8"/>
      <c r="H47" s="8"/>
      <c r="I47" s="8"/>
      <c r="J47" s="8"/>
      <c r="K47" s="8"/>
    </row>
    <row r="48" spans="3:11" ht="15.75" customHeight="1" x14ac:dyDescent="0.15">
      <c r="C48" s="8"/>
      <c r="D48" s="8"/>
      <c r="E48" s="8"/>
      <c r="F48" s="8"/>
      <c r="G48" s="8"/>
      <c r="H48" s="8"/>
      <c r="I48" s="8"/>
      <c r="J48" s="8"/>
      <c r="K48" s="8"/>
    </row>
    <row r="49" spans="3:11" ht="15.75" customHeight="1" x14ac:dyDescent="0.15">
      <c r="C49" s="8"/>
      <c r="D49" s="8"/>
      <c r="E49" s="8"/>
      <c r="F49" s="8"/>
      <c r="G49" s="8"/>
      <c r="H49" s="8"/>
      <c r="I49" s="8"/>
      <c r="J49" s="8"/>
      <c r="K49" s="8"/>
    </row>
    <row r="50" spans="3:11" ht="15.75" customHeight="1" x14ac:dyDescent="0.15">
      <c r="C50" s="8"/>
      <c r="D50" s="8"/>
      <c r="E50" s="8"/>
      <c r="F50" s="8"/>
      <c r="G50" s="8"/>
      <c r="H50" s="8"/>
      <c r="I50" s="8"/>
      <c r="J50" s="8"/>
      <c r="K50" s="8"/>
    </row>
    <row r="51" spans="3:11" ht="15.75" customHeight="1" x14ac:dyDescent="0.15">
      <c r="C51" s="8"/>
      <c r="D51" s="8"/>
      <c r="E51" s="8"/>
      <c r="F51" s="8"/>
      <c r="G51" s="8"/>
      <c r="H51" s="8"/>
      <c r="I51" s="8"/>
      <c r="J51" s="8"/>
      <c r="K51" s="8"/>
    </row>
    <row r="52" spans="3:11" ht="15.75" customHeight="1" x14ac:dyDescent="0.15">
      <c r="C52" s="8"/>
      <c r="D52" s="8"/>
      <c r="E52" s="8"/>
      <c r="F52" s="8"/>
      <c r="G52" s="8"/>
      <c r="H52" s="8"/>
      <c r="I52" s="8"/>
      <c r="J52" s="8"/>
      <c r="K52" s="8"/>
    </row>
    <row r="53" spans="3:11" ht="15.75" customHeight="1" x14ac:dyDescent="0.15">
      <c r="C53" s="8"/>
      <c r="D53" s="8"/>
      <c r="E53" s="8"/>
      <c r="F53" s="8"/>
      <c r="G53" s="8"/>
      <c r="H53" s="8"/>
      <c r="I53" s="8"/>
      <c r="J53" s="8"/>
      <c r="K53" s="8"/>
    </row>
    <row r="54" spans="3:11" ht="15.75" customHeight="1" x14ac:dyDescent="0.15">
      <c r="C54" s="8"/>
      <c r="D54" s="8"/>
      <c r="E54" s="8"/>
      <c r="F54" s="8"/>
      <c r="G54" s="8"/>
      <c r="H54" s="8"/>
      <c r="I54" s="8"/>
      <c r="J54" s="8"/>
      <c r="K54" s="8"/>
    </row>
    <row r="55" spans="3:11" ht="15.75" customHeight="1" x14ac:dyDescent="0.15">
      <c r="C55" s="8"/>
      <c r="D55" s="8"/>
      <c r="E55" s="8"/>
      <c r="F55" s="8"/>
      <c r="G55" s="8"/>
      <c r="H55" s="8"/>
      <c r="I55" s="8"/>
      <c r="J55" s="8"/>
      <c r="K55" s="8"/>
    </row>
    <row r="56" spans="3:11" ht="15.75" customHeight="1" x14ac:dyDescent="0.15">
      <c r="C56" s="8"/>
      <c r="D56" s="8"/>
      <c r="E56" s="8"/>
      <c r="F56" s="8"/>
      <c r="G56" s="8"/>
      <c r="H56" s="8"/>
      <c r="I56" s="8"/>
      <c r="J56" s="8"/>
      <c r="K56" s="8"/>
    </row>
    <row r="57" spans="3:11" ht="15.75" customHeight="1" x14ac:dyDescent="0.15">
      <c r="C57" s="8"/>
      <c r="D57" s="8"/>
      <c r="E57" s="8"/>
      <c r="F57" s="8"/>
      <c r="G57" s="8"/>
      <c r="H57" s="8"/>
      <c r="I57" s="8"/>
      <c r="J57" s="8"/>
      <c r="K57" s="8"/>
    </row>
    <row r="58" spans="3:11" ht="15.75" customHeight="1" x14ac:dyDescent="0.15">
      <c r="C58" s="8"/>
      <c r="D58" s="8"/>
      <c r="E58" s="8"/>
      <c r="F58" s="8"/>
      <c r="G58" s="8"/>
      <c r="H58" s="8"/>
      <c r="I58" s="8"/>
      <c r="J58" s="8"/>
      <c r="K58" s="8"/>
    </row>
    <row r="59" spans="3:11" ht="15.75" customHeight="1" x14ac:dyDescent="0.15">
      <c r="C59" s="8"/>
      <c r="D59" s="8"/>
      <c r="E59" s="8"/>
      <c r="F59" s="8"/>
      <c r="G59" s="8"/>
      <c r="H59" s="8"/>
      <c r="I59" s="8"/>
      <c r="J59" s="8"/>
      <c r="K59" s="8"/>
    </row>
    <row r="60" spans="3:11" ht="15.75" customHeight="1" x14ac:dyDescent="0.15">
      <c r="C60" s="8"/>
      <c r="D60" s="8"/>
      <c r="E60" s="8"/>
      <c r="F60" s="8"/>
      <c r="G60" s="8"/>
      <c r="H60" s="8"/>
      <c r="I60" s="8"/>
      <c r="J60" s="8"/>
      <c r="K60" s="8"/>
    </row>
    <row r="61" spans="3:11" ht="15.75" customHeight="1" x14ac:dyDescent="0.15">
      <c r="C61" s="8"/>
      <c r="D61" s="8"/>
      <c r="E61" s="8"/>
      <c r="F61" s="8"/>
      <c r="G61" s="8"/>
      <c r="H61" s="8"/>
      <c r="I61" s="8"/>
      <c r="J61" s="8"/>
      <c r="K61" s="8"/>
    </row>
    <row r="62" spans="3:11" ht="15.75" customHeight="1" x14ac:dyDescent="0.15">
      <c r="C62" s="8"/>
      <c r="D62" s="8"/>
      <c r="E62" s="8"/>
      <c r="F62" s="8"/>
      <c r="G62" s="8"/>
      <c r="H62" s="8"/>
      <c r="I62" s="8"/>
      <c r="J62" s="8"/>
      <c r="K62" s="8"/>
    </row>
    <row r="63" spans="3:11" ht="15.75" customHeight="1" x14ac:dyDescent="0.15">
      <c r="C63" s="8"/>
      <c r="D63" s="8"/>
      <c r="E63" s="8"/>
      <c r="F63" s="8"/>
      <c r="G63" s="8"/>
      <c r="H63" s="8"/>
      <c r="I63" s="8"/>
      <c r="J63" s="8"/>
      <c r="K63" s="8"/>
    </row>
    <row r="64" spans="3:11" ht="15.75" customHeight="1" x14ac:dyDescent="0.15">
      <c r="C64" s="8"/>
      <c r="D64" s="8"/>
      <c r="E64" s="8"/>
      <c r="F64" s="8"/>
      <c r="G64" s="8"/>
      <c r="H64" s="8"/>
      <c r="I64" s="8"/>
      <c r="J64" s="8"/>
      <c r="K64" s="8"/>
    </row>
    <row r="65" spans="3:11" ht="15.75" customHeight="1" x14ac:dyDescent="0.15">
      <c r="C65" s="8"/>
      <c r="D65" s="8"/>
      <c r="E65" s="8"/>
      <c r="F65" s="8"/>
      <c r="G65" s="8"/>
      <c r="H65" s="8"/>
      <c r="I65" s="8"/>
      <c r="J65" s="8"/>
      <c r="K65" s="8"/>
    </row>
    <row r="66" spans="3:11" ht="15.75" customHeight="1" x14ac:dyDescent="0.15">
      <c r="C66" s="8"/>
      <c r="D66" s="8"/>
      <c r="E66" s="8"/>
      <c r="F66" s="8"/>
      <c r="G66" s="8"/>
      <c r="H66" s="8"/>
      <c r="I66" s="8"/>
      <c r="J66" s="8"/>
      <c r="K66" s="8"/>
    </row>
    <row r="67" spans="3:11" ht="15.75" customHeight="1" x14ac:dyDescent="0.15">
      <c r="C67" s="8"/>
      <c r="D67" s="8"/>
      <c r="E67" s="8"/>
      <c r="F67" s="8"/>
      <c r="G67" s="8"/>
      <c r="H67" s="8"/>
      <c r="I67" s="8"/>
      <c r="J67" s="8"/>
      <c r="K67" s="8"/>
    </row>
    <row r="68" spans="3:11" ht="15.75" customHeight="1" x14ac:dyDescent="0.15">
      <c r="C68" s="8"/>
      <c r="D68" s="8"/>
      <c r="E68" s="8"/>
      <c r="F68" s="8"/>
      <c r="G68" s="8"/>
      <c r="H68" s="8"/>
      <c r="I68" s="8"/>
      <c r="J68" s="8"/>
      <c r="K68" s="8"/>
    </row>
    <row r="69" spans="3:11" ht="15.75" customHeight="1" x14ac:dyDescent="0.15">
      <c r="C69" s="8"/>
      <c r="D69" s="8"/>
      <c r="E69" s="8"/>
      <c r="F69" s="8"/>
      <c r="G69" s="8"/>
      <c r="H69" s="8"/>
      <c r="I69" s="8"/>
      <c r="J69" s="8"/>
      <c r="K69" s="8"/>
    </row>
    <row r="70" spans="3:11" ht="15.75" customHeight="1" x14ac:dyDescent="0.15">
      <c r="C70" s="8"/>
      <c r="D70" s="8"/>
      <c r="E70" s="8"/>
      <c r="F70" s="8"/>
      <c r="G70" s="8"/>
      <c r="H70" s="8"/>
      <c r="I70" s="8"/>
      <c r="J70" s="8"/>
      <c r="K70" s="8"/>
    </row>
    <row r="71" spans="3:11" ht="15.75" customHeight="1" x14ac:dyDescent="0.15">
      <c r="C71" s="8"/>
      <c r="D71" s="8"/>
      <c r="E71" s="8"/>
      <c r="F71" s="8"/>
      <c r="G71" s="8"/>
      <c r="H71" s="8"/>
      <c r="I71" s="8"/>
      <c r="J71" s="8"/>
      <c r="K71" s="8"/>
    </row>
    <row r="72" spans="3:11" ht="15.75" customHeight="1" x14ac:dyDescent="0.15">
      <c r="C72" s="8"/>
      <c r="D72" s="8"/>
      <c r="E72" s="8"/>
      <c r="F72" s="8"/>
      <c r="G72" s="8"/>
      <c r="H72" s="8"/>
      <c r="I72" s="8"/>
      <c r="J72" s="8"/>
      <c r="K72" s="8"/>
    </row>
    <row r="73" spans="3:11" ht="15.75" customHeight="1" x14ac:dyDescent="0.15">
      <c r="C73" s="8"/>
      <c r="D73" s="8"/>
      <c r="E73" s="8"/>
      <c r="F73" s="8"/>
      <c r="G73" s="8"/>
      <c r="H73" s="8"/>
      <c r="I73" s="8"/>
      <c r="J73" s="8"/>
      <c r="K73" s="8"/>
    </row>
    <row r="74" spans="3:11" ht="15.75" customHeight="1" x14ac:dyDescent="0.15">
      <c r="C74" s="8"/>
      <c r="D74" s="8"/>
      <c r="E74" s="8"/>
      <c r="F74" s="8"/>
      <c r="G74" s="8"/>
      <c r="H74" s="8"/>
      <c r="I74" s="8"/>
      <c r="J74" s="8"/>
      <c r="K74" s="8"/>
    </row>
    <row r="75" spans="3:11" ht="15.75" customHeight="1" x14ac:dyDescent="0.15">
      <c r="C75" s="8"/>
      <c r="D75" s="8"/>
      <c r="E75" s="8"/>
      <c r="F75" s="8"/>
      <c r="G75" s="8"/>
      <c r="H75" s="8"/>
      <c r="I75" s="8"/>
      <c r="J75" s="8"/>
      <c r="K75" s="8"/>
    </row>
    <row r="76" spans="3:11" ht="15.75" customHeight="1" x14ac:dyDescent="0.15">
      <c r="C76" s="8"/>
      <c r="D76" s="8"/>
      <c r="E76" s="8"/>
      <c r="F76" s="8"/>
      <c r="G76" s="8"/>
      <c r="H76" s="8"/>
      <c r="I76" s="8"/>
      <c r="J76" s="8"/>
      <c r="K76" s="8"/>
    </row>
    <row r="77" spans="3:11" ht="15.75" customHeight="1" x14ac:dyDescent="0.15">
      <c r="C77" s="8"/>
      <c r="D77" s="8"/>
      <c r="E77" s="8"/>
      <c r="F77" s="8"/>
      <c r="G77" s="8"/>
      <c r="H77" s="8"/>
      <c r="I77" s="8"/>
      <c r="J77" s="8"/>
      <c r="K77" s="8"/>
    </row>
    <row r="78" spans="3:11" ht="15.75" customHeight="1" x14ac:dyDescent="0.15">
      <c r="C78" s="8"/>
      <c r="D78" s="8"/>
      <c r="E78" s="8"/>
      <c r="F78" s="8"/>
      <c r="G78" s="8"/>
      <c r="H78" s="8"/>
      <c r="I78" s="8"/>
      <c r="J78" s="8"/>
      <c r="K78" s="8"/>
    </row>
    <row r="79" spans="3:11" ht="15.75" customHeight="1" x14ac:dyDescent="0.15">
      <c r="C79" s="8"/>
      <c r="D79" s="8"/>
      <c r="E79" s="8"/>
      <c r="F79" s="8"/>
      <c r="G79" s="8"/>
      <c r="H79" s="8"/>
      <c r="I79" s="8"/>
      <c r="J79" s="8"/>
      <c r="K79" s="8"/>
    </row>
    <row r="80" spans="3:11" ht="15.75" customHeight="1" x14ac:dyDescent="0.15">
      <c r="C80" s="8"/>
      <c r="D80" s="8"/>
      <c r="E80" s="8"/>
      <c r="F80" s="8"/>
      <c r="G80" s="8"/>
      <c r="H80" s="8"/>
      <c r="I80" s="8"/>
      <c r="J80" s="8"/>
      <c r="K80" s="8"/>
    </row>
    <row r="81" spans="3:11" ht="15.75" customHeight="1" x14ac:dyDescent="0.15">
      <c r="C81" s="8"/>
      <c r="D81" s="8"/>
      <c r="E81" s="8"/>
      <c r="F81" s="8"/>
      <c r="G81" s="8"/>
      <c r="H81" s="8"/>
      <c r="I81" s="8"/>
      <c r="J81" s="8"/>
      <c r="K81" s="8"/>
    </row>
    <row r="82" spans="3:11" ht="15.75" customHeight="1" x14ac:dyDescent="0.15">
      <c r="C82" s="8"/>
      <c r="D82" s="8"/>
      <c r="E82" s="8"/>
      <c r="F82" s="8"/>
      <c r="G82" s="8"/>
      <c r="H82" s="8"/>
      <c r="I82" s="8"/>
      <c r="J82" s="8"/>
      <c r="K82" s="8"/>
    </row>
    <row r="83" spans="3:11" ht="15.75" customHeight="1" x14ac:dyDescent="0.15">
      <c r="C83" s="8"/>
      <c r="D83" s="8"/>
      <c r="E83" s="8"/>
      <c r="F83" s="8"/>
      <c r="G83" s="8"/>
      <c r="H83" s="8"/>
      <c r="I83" s="8"/>
      <c r="J83" s="8"/>
      <c r="K83" s="8"/>
    </row>
    <row r="84" spans="3:11" ht="15.75" customHeight="1" x14ac:dyDescent="0.15">
      <c r="C84" s="8"/>
      <c r="D84" s="8"/>
      <c r="E84" s="8"/>
      <c r="F84" s="8"/>
      <c r="G84" s="8"/>
      <c r="H84" s="8"/>
      <c r="I84" s="8"/>
      <c r="J84" s="8"/>
      <c r="K84" s="8"/>
    </row>
    <row r="85" spans="3:11" ht="15.75" customHeight="1" x14ac:dyDescent="0.15">
      <c r="C85" s="8"/>
      <c r="D85" s="8"/>
      <c r="E85" s="8"/>
      <c r="F85" s="8"/>
      <c r="G85" s="8"/>
      <c r="H85" s="8"/>
      <c r="I85" s="8"/>
      <c r="J85" s="8"/>
      <c r="K85" s="8"/>
    </row>
    <row r="86" spans="3:11" ht="15.75" customHeight="1" x14ac:dyDescent="0.15">
      <c r="C86" s="8"/>
      <c r="D86" s="8"/>
      <c r="E86" s="8"/>
      <c r="F86" s="8"/>
      <c r="G86" s="8"/>
      <c r="H86" s="8"/>
      <c r="I86" s="8"/>
      <c r="J86" s="8"/>
      <c r="K86" s="8"/>
    </row>
    <row r="87" spans="3:11" ht="15.75" customHeight="1" x14ac:dyDescent="0.15">
      <c r="C87" s="8"/>
      <c r="D87" s="8"/>
      <c r="E87" s="8"/>
      <c r="F87" s="8"/>
      <c r="G87" s="8"/>
      <c r="H87" s="8"/>
      <c r="I87" s="8"/>
      <c r="J87" s="8"/>
      <c r="K87" s="8"/>
    </row>
    <row r="88" spans="3:11" ht="15.75" customHeight="1" x14ac:dyDescent="0.15">
      <c r="C88" s="8"/>
      <c r="D88" s="8"/>
      <c r="E88" s="8"/>
      <c r="F88" s="8"/>
      <c r="G88" s="8"/>
      <c r="H88" s="8"/>
      <c r="I88" s="8"/>
      <c r="J88" s="8"/>
      <c r="K88" s="8"/>
    </row>
    <row r="89" spans="3:11" ht="15.75" customHeight="1" x14ac:dyDescent="0.15">
      <c r="C89" s="8"/>
      <c r="D89" s="8"/>
      <c r="E89" s="8"/>
      <c r="F89" s="8"/>
      <c r="G89" s="8"/>
      <c r="H89" s="8"/>
      <c r="I89" s="8"/>
      <c r="J89" s="8"/>
      <c r="K89" s="8"/>
    </row>
    <row r="90" spans="3:11" ht="15.75" customHeight="1" x14ac:dyDescent="0.15">
      <c r="C90" s="8"/>
      <c r="D90" s="8"/>
      <c r="E90" s="8"/>
      <c r="F90" s="8"/>
      <c r="G90" s="8"/>
      <c r="H90" s="8"/>
      <c r="I90" s="8"/>
      <c r="J90" s="8"/>
      <c r="K90" s="8"/>
    </row>
    <row r="91" spans="3:11" ht="15.75" customHeight="1" x14ac:dyDescent="0.15">
      <c r="C91" s="8"/>
      <c r="D91" s="8"/>
      <c r="E91" s="8"/>
      <c r="F91" s="8"/>
      <c r="G91" s="8"/>
      <c r="H91" s="8"/>
      <c r="I91" s="8"/>
      <c r="J91" s="8"/>
      <c r="K91" s="8"/>
    </row>
    <row r="92" spans="3:11" ht="15.75" customHeight="1" x14ac:dyDescent="0.15">
      <c r="C92" s="8"/>
      <c r="D92" s="8"/>
      <c r="E92" s="8"/>
      <c r="F92" s="8"/>
      <c r="G92" s="8"/>
      <c r="H92" s="8"/>
      <c r="I92" s="8"/>
      <c r="J92" s="8"/>
      <c r="K92" s="8"/>
    </row>
    <row r="93" spans="3:11" ht="15.75" customHeight="1" x14ac:dyDescent="0.15">
      <c r="C93" s="8"/>
      <c r="D93" s="8"/>
      <c r="E93" s="8"/>
      <c r="F93" s="8"/>
      <c r="G93" s="8"/>
      <c r="H93" s="8"/>
      <c r="I93" s="8"/>
      <c r="J93" s="8"/>
      <c r="K93" s="8"/>
    </row>
    <row r="94" spans="3:11" ht="15.75" customHeight="1" x14ac:dyDescent="0.15">
      <c r="C94" s="8"/>
      <c r="D94" s="8"/>
      <c r="E94" s="8"/>
      <c r="F94" s="8"/>
      <c r="G94" s="8"/>
      <c r="H94" s="8"/>
      <c r="I94" s="8"/>
      <c r="J94" s="8"/>
      <c r="K94" s="8"/>
    </row>
    <row r="95" spans="3:11" ht="15.75" customHeight="1" x14ac:dyDescent="0.15">
      <c r="C95" s="8"/>
      <c r="D95" s="8"/>
      <c r="E95" s="8"/>
      <c r="F95" s="8"/>
      <c r="G95" s="8"/>
      <c r="H95" s="8"/>
      <c r="I95" s="8"/>
      <c r="J95" s="8"/>
      <c r="K95" s="8"/>
    </row>
    <row r="96" spans="3:11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18"/>
  <sheetViews>
    <sheetView topLeftCell="B62" workbookViewId="0">
      <selection activeCell="C69" sqref="C69"/>
    </sheetView>
  </sheetViews>
  <sheetFormatPr baseColWidth="10" defaultColWidth="12.6640625" defaultRowHeight="15" customHeight="1" x14ac:dyDescent="0.15"/>
  <cols>
    <col min="1" max="1" width="13.1640625" customWidth="1"/>
    <col min="2" max="2" width="11.6640625" customWidth="1"/>
    <col min="3" max="3" width="35.1640625" customWidth="1"/>
    <col min="4" max="4" width="30" customWidth="1"/>
    <col min="5" max="5" width="16.1640625" customWidth="1"/>
    <col min="6" max="6" width="16.83203125" customWidth="1"/>
    <col min="7" max="8" width="8.6640625" customWidth="1"/>
    <col min="9" max="9" width="12.6640625" customWidth="1"/>
    <col min="10" max="10" width="5.5" customWidth="1"/>
    <col min="11" max="24" width="14.33203125" customWidth="1"/>
  </cols>
  <sheetData>
    <row r="2" spans="2:9" ht="18" x14ac:dyDescent="0.15">
      <c r="B2" s="219" t="s">
        <v>1</v>
      </c>
      <c r="C2" s="220"/>
      <c r="D2" s="220"/>
      <c r="E2" s="220"/>
      <c r="F2" s="221"/>
    </row>
    <row r="3" spans="2:9" ht="6.75" customHeight="1" x14ac:dyDescent="0.15"/>
    <row r="4" spans="2:9" ht="16" x14ac:dyDescent="0.15"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H4" s="12" t="s">
        <v>7</v>
      </c>
      <c r="I4" s="12" t="s">
        <v>8</v>
      </c>
    </row>
    <row r="5" spans="2:9" ht="16" x14ac:dyDescent="0.2">
      <c r="B5" s="13">
        <v>1101</v>
      </c>
      <c r="C5" s="14" t="s">
        <v>9</v>
      </c>
      <c r="D5" s="14" t="s">
        <v>9</v>
      </c>
      <c r="E5" s="15"/>
      <c r="F5" s="15"/>
      <c r="H5" s="16" t="str">
        <f>VLOOKUP(D5,CONTROL!$B$3:$D$84,2,TRUE)</f>
        <v>Debet</v>
      </c>
      <c r="I5" s="16" t="str">
        <f>VLOOKUP(D5,CONTROL!B3:D84,3,FALSE)</f>
        <v>Neraca</v>
      </c>
    </row>
    <row r="6" spans="2:9" ht="16" x14ac:dyDescent="0.2">
      <c r="B6" s="13">
        <v>1102</v>
      </c>
      <c r="C6" s="14" t="s">
        <v>10</v>
      </c>
      <c r="D6" s="14" t="s">
        <v>10</v>
      </c>
      <c r="E6" s="15"/>
      <c r="F6" s="15"/>
      <c r="H6" s="16" t="str">
        <f>VLOOKUP(D6,CONTROL!$B$3:$D$84,2,TRUE)</f>
        <v>Debet</v>
      </c>
      <c r="I6" s="16" t="str">
        <f>VLOOKUP(D6,CONTROL!B4:D85,3,FALSE)</f>
        <v>Neraca</v>
      </c>
    </row>
    <row r="7" spans="2:9" ht="16" x14ac:dyDescent="0.2">
      <c r="B7" s="13">
        <v>1103</v>
      </c>
      <c r="C7" s="14" t="s">
        <v>11</v>
      </c>
      <c r="D7" s="14" t="s">
        <v>11</v>
      </c>
      <c r="E7" s="15"/>
      <c r="F7" s="15"/>
      <c r="H7" s="16" t="str">
        <f>VLOOKUP(D7,CONTROL!$B$3:$D$84,2,TRUE)</f>
        <v>Debet</v>
      </c>
      <c r="I7" s="16" t="str">
        <f>VLOOKUP(D7,CONTROL!B5:D86,3,FALSE)</f>
        <v>Neraca</v>
      </c>
    </row>
    <row r="8" spans="2:9" ht="16" x14ac:dyDescent="0.2">
      <c r="B8" s="13">
        <v>1104</v>
      </c>
      <c r="C8" s="14" t="s">
        <v>12</v>
      </c>
      <c r="D8" s="14" t="s">
        <v>12</v>
      </c>
      <c r="E8" s="15"/>
      <c r="F8" s="15"/>
      <c r="H8" s="16" t="str">
        <f>VLOOKUP(D8,CONTROL!$B$3:$D$84,2,TRUE)</f>
        <v>Debet</v>
      </c>
      <c r="I8" s="16" t="str">
        <f>VLOOKUP(D8,CONTROL!B6:D87,3,FALSE)</f>
        <v>Neraca</v>
      </c>
    </row>
    <row r="9" spans="2:9" ht="16" x14ac:dyDescent="0.2">
      <c r="B9" s="13">
        <v>1105</v>
      </c>
      <c r="C9" s="14" t="s">
        <v>13</v>
      </c>
      <c r="D9" s="14" t="s">
        <v>13</v>
      </c>
      <c r="E9" s="17"/>
      <c r="F9" s="15"/>
      <c r="H9" s="16" t="str">
        <f>VLOOKUP(D9,CONTROL!$B$3:$D$84,2,TRUE)</f>
        <v>Debet</v>
      </c>
      <c r="I9" s="16" t="str">
        <f>VLOOKUP(D9,CONTROL!B7:D87,3,FALSE)</f>
        <v>Neraca</v>
      </c>
    </row>
    <row r="10" spans="2:9" ht="16" x14ac:dyDescent="0.2">
      <c r="B10" s="13">
        <v>1106</v>
      </c>
      <c r="C10" s="14" t="s">
        <v>14</v>
      </c>
      <c r="D10" s="14" t="s">
        <v>14</v>
      </c>
      <c r="E10" s="15"/>
      <c r="F10" s="15"/>
      <c r="H10" s="16" t="str">
        <f>VLOOKUP(D10,CONTROL!$B$3:$D$84,2,TRUE)</f>
        <v>Debet</v>
      </c>
      <c r="I10" s="16" t="str">
        <f>VLOOKUP(D10,CONTROL!B8:D88,3,FALSE)</f>
        <v>Neraca</v>
      </c>
    </row>
    <row r="11" spans="2:9" ht="16" x14ac:dyDescent="0.2">
      <c r="B11" s="13">
        <v>1201</v>
      </c>
      <c r="C11" s="14" t="s">
        <v>15</v>
      </c>
      <c r="D11" s="14" t="s">
        <v>15</v>
      </c>
      <c r="E11" s="15"/>
      <c r="F11" s="15"/>
      <c r="H11" s="16" t="str">
        <f>VLOOKUP(D11,CONTROL!$B$3:$D$84,2,TRUE)</f>
        <v>Debet</v>
      </c>
      <c r="I11" s="16" t="str">
        <f>VLOOKUP(D11,CONTROL!B9:D89,3,FALSE)</f>
        <v>Neraca</v>
      </c>
    </row>
    <row r="12" spans="2:9" ht="16" x14ac:dyDescent="0.2">
      <c r="B12" s="13">
        <v>1202</v>
      </c>
      <c r="C12" s="14" t="s">
        <v>16</v>
      </c>
      <c r="D12" s="14" t="s">
        <v>16</v>
      </c>
      <c r="E12" s="15"/>
      <c r="F12" s="15"/>
      <c r="H12" s="16" t="str">
        <f>VLOOKUP(COA!D12,CONTROL!B3:D84,2,FALSE)</f>
        <v>Kredit</v>
      </c>
      <c r="I12" s="16" t="str">
        <f>VLOOKUP(D12,CONTROL!B10:D90,3,FALSE)</f>
        <v>Neraca</v>
      </c>
    </row>
    <row r="13" spans="2:9" ht="16" x14ac:dyDescent="0.2">
      <c r="B13" s="13">
        <v>2110</v>
      </c>
      <c r="C13" s="14" t="s">
        <v>17</v>
      </c>
      <c r="D13" s="14" t="s">
        <v>17</v>
      </c>
      <c r="E13" s="15"/>
      <c r="F13" s="15"/>
      <c r="H13" s="16" t="str">
        <f>VLOOKUP(COA!D13,CONTROL!B4:D85,2,FALSE)</f>
        <v>Kredit</v>
      </c>
      <c r="I13" s="16" t="str">
        <f>VLOOKUP(D13,CONTROL!B11:D91,3,FALSE)</f>
        <v>Neraca</v>
      </c>
    </row>
    <row r="14" spans="2:9" ht="16" x14ac:dyDescent="0.2">
      <c r="B14" s="13">
        <v>2120</v>
      </c>
      <c r="C14" s="14" t="s">
        <v>18</v>
      </c>
      <c r="D14" s="14" t="s">
        <v>18</v>
      </c>
      <c r="E14" s="15"/>
      <c r="F14" s="15"/>
      <c r="H14" s="16" t="str">
        <f>VLOOKUP(COA!D14,CONTROL!B5:D86,2,FALSE)</f>
        <v>Kredit</v>
      </c>
      <c r="I14" s="16" t="str">
        <f>VLOOKUP(D14,CONTROL!B12:D92,3,FALSE)</f>
        <v>Neraca</v>
      </c>
    </row>
    <row r="15" spans="2:9" ht="16" x14ac:dyDescent="0.2">
      <c r="B15" s="13">
        <v>2130</v>
      </c>
      <c r="C15" s="14" t="s">
        <v>233</v>
      </c>
      <c r="D15" s="14" t="s">
        <v>233</v>
      </c>
      <c r="E15" s="15"/>
      <c r="F15" s="15"/>
      <c r="H15" s="16" t="str">
        <f>VLOOKUP(COA!D15,CONTROL!B6:D87,2,FALSE)</f>
        <v>Kredit</v>
      </c>
      <c r="I15" s="16" t="str">
        <f>VLOOKUP(D15,CONTROL!B13:D93,3,FALSE)</f>
        <v>Neraca</v>
      </c>
    </row>
    <row r="16" spans="2:9" ht="16" x14ac:dyDescent="0.2">
      <c r="B16" s="13">
        <v>2140</v>
      </c>
      <c r="C16" s="14" t="s">
        <v>128</v>
      </c>
      <c r="D16" s="14" t="s">
        <v>128</v>
      </c>
      <c r="E16" s="15"/>
      <c r="F16" s="15"/>
      <c r="H16" s="16" t="str">
        <f>VLOOKUP(COA!D16,CONTROL!B7:D88,2,FALSE)</f>
        <v>Kredit</v>
      </c>
      <c r="I16" s="16" t="str">
        <f>VLOOKUP(D16,CONTROL!B14:D94,3,FALSE)</f>
        <v>Neraca</v>
      </c>
    </row>
    <row r="17" spans="2:9" ht="16" x14ac:dyDescent="0.2">
      <c r="B17" s="13">
        <v>2150</v>
      </c>
      <c r="C17" s="14" t="s">
        <v>234</v>
      </c>
      <c r="D17" s="14" t="s">
        <v>234</v>
      </c>
      <c r="E17" s="15"/>
      <c r="F17" s="15"/>
      <c r="H17" s="16" t="str">
        <f>VLOOKUP(COA!D17,CONTROL!B8:D89,2,FALSE)</f>
        <v>Kredit</v>
      </c>
      <c r="I17" s="16" t="str">
        <f>VLOOKUP(D17,CONTROL!B15:D95,3,FALSE)</f>
        <v>Neraca</v>
      </c>
    </row>
    <row r="18" spans="2:9" ht="16" x14ac:dyDescent="0.2">
      <c r="B18" s="13">
        <v>2160</v>
      </c>
      <c r="C18" s="14" t="s">
        <v>235</v>
      </c>
      <c r="D18" s="14" t="s">
        <v>235</v>
      </c>
      <c r="E18" s="15"/>
      <c r="F18" s="15"/>
      <c r="H18" s="16" t="str">
        <f>VLOOKUP(COA!D18,CONTROL!B9:D90,2,FALSE)</f>
        <v>Kredit</v>
      </c>
      <c r="I18" s="16" t="str">
        <f>VLOOKUP(D18,CONTROL!B16:D96,3,FALSE)</f>
        <v>Neraca</v>
      </c>
    </row>
    <row r="19" spans="2:9" ht="16" x14ac:dyDescent="0.2">
      <c r="B19" s="13">
        <v>3100</v>
      </c>
      <c r="C19" s="14" t="s">
        <v>19</v>
      </c>
      <c r="D19" s="14" t="s">
        <v>19</v>
      </c>
      <c r="E19" s="15"/>
      <c r="F19" s="15"/>
      <c r="H19" s="16" t="str">
        <f>VLOOKUP(COA!D19,CONTROL!B10:D91,2,FALSE)</f>
        <v>Kredit</v>
      </c>
      <c r="I19" s="16" t="str">
        <f>VLOOKUP(D19,CONTROL!B17:D97,3,FALSE)</f>
        <v>Neraca</v>
      </c>
    </row>
    <row r="20" spans="2:9" ht="16" x14ac:dyDescent="0.2">
      <c r="B20" s="13">
        <v>3110</v>
      </c>
      <c r="C20" s="14" t="s">
        <v>20</v>
      </c>
      <c r="D20" s="14" t="s">
        <v>20</v>
      </c>
      <c r="E20" s="15"/>
      <c r="F20" s="15"/>
      <c r="H20" s="16" t="str">
        <f>VLOOKUP(COA!D20,CONTROL!B11:D92,2,FALSE)</f>
        <v>Kredit</v>
      </c>
      <c r="I20" s="16" t="str">
        <f>VLOOKUP(D20,CONTROL!B18:D98,3,FALSE)</f>
        <v>Neraca</v>
      </c>
    </row>
    <row r="21" spans="2:9" ht="15.75" customHeight="1" x14ac:dyDescent="0.2">
      <c r="B21" s="13">
        <v>4110</v>
      </c>
      <c r="C21" s="14" t="s">
        <v>228</v>
      </c>
      <c r="D21" s="14" t="s">
        <v>228</v>
      </c>
      <c r="E21" s="15"/>
      <c r="F21" s="15"/>
      <c r="H21" s="16" t="str">
        <f>VLOOKUP(COA!D21,CONTROL!B12:D93,2,FALSE)</f>
        <v>Kredit</v>
      </c>
      <c r="I21" s="16" t="str">
        <f>VLOOKUP(D21,CONTROL!B19:D99,3,FALSE)</f>
        <v>Laba Rugi</v>
      </c>
    </row>
    <row r="22" spans="2:9" s="121" customFormat="1" ht="15.75" customHeight="1" x14ac:dyDescent="0.2">
      <c r="B22" s="13">
        <v>4120</v>
      </c>
      <c r="C22" s="14" t="s">
        <v>229</v>
      </c>
      <c r="D22" s="14" t="s">
        <v>229</v>
      </c>
      <c r="E22" s="15"/>
      <c r="F22" s="15"/>
      <c r="H22" s="16" t="str">
        <f>VLOOKUP(COA!D22,CONTROL!B13:D94,2,FALSE)</f>
        <v>Kredit</v>
      </c>
      <c r="I22" s="16" t="str">
        <f>VLOOKUP(D22,CONTROL!B20:D100,3,FALSE)</f>
        <v>Laba Rugi</v>
      </c>
    </row>
    <row r="23" spans="2:9" s="121" customFormat="1" ht="15.75" customHeight="1" x14ac:dyDescent="0.2">
      <c r="B23" s="13">
        <v>4130</v>
      </c>
      <c r="C23" s="14" t="s">
        <v>230</v>
      </c>
      <c r="D23" s="14" t="s">
        <v>230</v>
      </c>
      <c r="E23" s="15"/>
      <c r="F23" s="15"/>
      <c r="H23" s="16" t="str">
        <f>VLOOKUP(COA!D23,CONTROL!B14:D95,2,FALSE)</f>
        <v>Kredit</v>
      </c>
      <c r="I23" s="16" t="str">
        <f>VLOOKUP(D23,CONTROL!B21:D101,3,FALSE)</f>
        <v>Laba Rugi</v>
      </c>
    </row>
    <row r="24" spans="2:9" s="121" customFormat="1" ht="15.75" customHeight="1" x14ac:dyDescent="0.2">
      <c r="B24" s="13">
        <v>4140</v>
      </c>
      <c r="C24" s="14" t="s">
        <v>287</v>
      </c>
      <c r="D24" s="14" t="s">
        <v>287</v>
      </c>
      <c r="E24" s="15"/>
      <c r="F24" s="15"/>
      <c r="H24" s="16" t="str">
        <f>VLOOKUP(COA!D24,CONTROL!B15:D96,2,FALSE)</f>
        <v>Kredit</v>
      </c>
      <c r="I24" s="16" t="str">
        <f>VLOOKUP(D24,CONTROL!B22:D102,3,FALSE)</f>
        <v>Laba Rugi</v>
      </c>
    </row>
    <row r="25" spans="2:9" s="121" customFormat="1" ht="15.75" customHeight="1" x14ac:dyDescent="0.2">
      <c r="B25" s="13">
        <v>7010</v>
      </c>
      <c r="C25" s="14" t="s">
        <v>231</v>
      </c>
      <c r="D25" s="14" t="s">
        <v>231</v>
      </c>
      <c r="E25" s="15"/>
      <c r="F25" s="15"/>
      <c r="H25" s="16" t="str">
        <f>VLOOKUP(COA!D25,CONTROL!B16:D97,2,FALSE)</f>
        <v>Kredit</v>
      </c>
      <c r="I25" s="16" t="str">
        <f>VLOOKUP(D25,CONTROL!B23:D103,3,FALSE)</f>
        <v>Laba Rugi</v>
      </c>
    </row>
    <row r="26" spans="2:9" s="121" customFormat="1" ht="15.75" customHeight="1" x14ac:dyDescent="0.2">
      <c r="B26" s="13">
        <v>4160</v>
      </c>
      <c r="C26" s="14" t="s">
        <v>285</v>
      </c>
      <c r="D26" s="14" t="s">
        <v>285</v>
      </c>
      <c r="E26" s="15"/>
      <c r="F26" s="15"/>
      <c r="H26" s="16" t="str">
        <f>VLOOKUP(COA!D26,CONTROL!B17:D98,2,FALSE)</f>
        <v>Kredit</v>
      </c>
      <c r="I26" s="16" t="str">
        <f>VLOOKUP(D26,CONTROL!B24:D104,3,FALSE)</f>
        <v>Laba Rugi</v>
      </c>
    </row>
    <row r="27" spans="2:9" s="121" customFormat="1" ht="15.75" customHeight="1" x14ac:dyDescent="0.2">
      <c r="B27" s="13">
        <v>4170</v>
      </c>
      <c r="C27" s="14" t="s">
        <v>286</v>
      </c>
      <c r="D27" s="14" t="s">
        <v>286</v>
      </c>
      <c r="E27" s="15"/>
      <c r="F27" s="15"/>
      <c r="H27" s="16" t="str">
        <f>VLOOKUP(COA!D27,CONTROL!B18:D99,2,FALSE)</f>
        <v>Debet</v>
      </c>
      <c r="I27" s="16" t="str">
        <f>VLOOKUP(D27,CONTROL!B25:D105,3,FALSE)</f>
        <v>Laba Rugi</v>
      </c>
    </row>
    <row r="28" spans="2:9" s="121" customFormat="1" ht="15.75" customHeight="1" x14ac:dyDescent="0.2">
      <c r="B28" s="13">
        <v>5010</v>
      </c>
      <c r="C28" s="14" t="s">
        <v>232</v>
      </c>
      <c r="D28" s="14" t="s">
        <v>232</v>
      </c>
      <c r="E28" s="15"/>
      <c r="F28" s="15"/>
      <c r="H28" s="16" t="str">
        <f>VLOOKUP(COA!D28,CONTROL!B19:D100,2,FALSE)</f>
        <v>Debet</v>
      </c>
      <c r="I28" s="16" t="str">
        <f>VLOOKUP(D28,CONTROL!B26:D106,3,FALSE)</f>
        <v>Laba Rugi</v>
      </c>
    </row>
    <row r="29" spans="2:9" s="121" customFormat="1" ht="15.75" customHeight="1" x14ac:dyDescent="0.2">
      <c r="B29" s="13">
        <v>5020</v>
      </c>
      <c r="C29" s="14" t="s">
        <v>236</v>
      </c>
      <c r="D29" s="14" t="s">
        <v>236</v>
      </c>
      <c r="E29" s="15"/>
      <c r="F29" s="15"/>
      <c r="H29" s="16" t="str">
        <f>VLOOKUP(COA!D29,CONTROL!B20:D101,2,FALSE)</f>
        <v>Debet</v>
      </c>
      <c r="I29" s="16" t="str">
        <f>VLOOKUP(D29,CONTROL!B27:D107,3,FALSE)</f>
        <v>Laba Rugi</v>
      </c>
    </row>
    <row r="30" spans="2:9" s="121" customFormat="1" ht="15.75" customHeight="1" x14ac:dyDescent="0.2">
      <c r="B30" s="13">
        <v>5030</v>
      </c>
      <c r="C30" s="14" t="s">
        <v>237</v>
      </c>
      <c r="D30" s="14" t="s">
        <v>237</v>
      </c>
      <c r="E30" s="15"/>
      <c r="F30" s="15"/>
      <c r="H30" s="16" t="str">
        <f>VLOOKUP(COA!D30,CONTROL!B21:D102,2,FALSE)</f>
        <v>Debet</v>
      </c>
      <c r="I30" s="16" t="str">
        <f>VLOOKUP(D30,CONTROL!B28:D108,3,FALSE)</f>
        <v>Laba Rugi</v>
      </c>
    </row>
    <row r="31" spans="2:9" s="121" customFormat="1" ht="15.75" customHeight="1" x14ac:dyDescent="0.2">
      <c r="B31" s="13">
        <v>5040</v>
      </c>
      <c r="C31" s="14" t="s">
        <v>238</v>
      </c>
      <c r="D31" s="14" t="s">
        <v>238</v>
      </c>
      <c r="E31" s="15"/>
      <c r="F31" s="15"/>
      <c r="H31" s="16" t="str">
        <f>VLOOKUP(COA!D31,CONTROL!B22:D103,2,FALSE)</f>
        <v>Debet</v>
      </c>
      <c r="I31" s="16" t="str">
        <f>VLOOKUP(D31,CONTROL!B29:D109,3,FALSE)</f>
        <v>Laba Rugi</v>
      </c>
    </row>
    <row r="32" spans="2:9" s="121" customFormat="1" ht="15.75" customHeight="1" x14ac:dyDescent="0.2">
      <c r="B32" s="13">
        <v>5050</v>
      </c>
      <c r="C32" s="14" t="s">
        <v>239</v>
      </c>
      <c r="D32" s="14" t="s">
        <v>239</v>
      </c>
      <c r="E32" s="15"/>
      <c r="F32" s="15"/>
      <c r="H32" s="16" t="str">
        <f>VLOOKUP(COA!D32,CONTROL!B23:D104,2,FALSE)</f>
        <v>Debet</v>
      </c>
      <c r="I32" s="16" t="str">
        <f>VLOOKUP(D32,CONTROL!B30:D110,3,FALSE)</f>
        <v>Laba Rugi</v>
      </c>
    </row>
    <row r="33" spans="2:9" s="121" customFormat="1" ht="15.75" customHeight="1" x14ac:dyDescent="0.2">
      <c r="B33" s="13">
        <v>5060</v>
      </c>
      <c r="C33" s="14" t="s">
        <v>240</v>
      </c>
      <c r="D33" s="14" t="s">
        <v>240</v>
      </c>
      <c r="E33" s="15"/>
      <c r="F33" s="15"/>
      <c r="H33" s="16" t="str">
        <f>VLOOKUP(COA!D33,CONTROL!B24:D105,2,FALSE)</f>
        <v>Debet</v>
      </c>
      <c r="I33" s="16" t="str">
        <f>VLOOKUP(D33,CONTROL!B31:D111,3,FALSE)</f>
        <v>Laba Rugi</v>
      </c>
    </row>
    <row r="34" spans="2:9" s="121" customFormat="1" ht="15.75" customHeight="1" x14ac:dyDescent="0.2">
      <c r="B34" s="13">
        <v>5070</v>
      </c>
      <c r="C34" s="14" t="s">
        <v>241</v>
      </c>
      <c r="D34" s="14" t="s">
        <v>241</v>
      </c>
      <c r="E34" s="15"/>
      <c r="F34" s="15"/>
      <c r="H34" s="16" t="str">
        <f>VLOOKUP(COA!D34,CONTROL!B25:D106,2,FALSE)</f>
        <v>Debet</v>
      </c>
      <c r="I34" s="16" t="str">
        <f>VLOOKUP(D34,CONTROL!B32:D112,3,FALSE)</f>
        <v>Laba Rugi</v>
      </c>
    </row>
    <row r="35" spans="2:9" s="121" customFormat="1" ht="15.75" customHeight="1" x14ac:dyDescent="0.2">
      <c r="B35" s="13">
        <v>5101</v>
      </c>
      <c r="C35" s="14" t="s">
        <v>248</v>
      </c>
      <c r="D35" s="14" t="s">
        <v>248</v>
      </c>
      <c r="E35" s="15"/>
      <c r="F35" s="15"/>
      <c r="H35" s="16" t="str">
        <f>VLOOKUP(COA!D35,CONTROL!B26:D107,2,FALSE)</f>
        <v>Debet</v>
      </c>
      <c r="I35" s="16" t="str">
        <f>VLOOKUP(D35,CONTROL!B33:D113,3,FALSE)</f>
        <v>Laba Rugi</v>
      </c>
    </row>
    <row r="36" spans="2:9" s="121" customFormat="1" ht="15.75" customHeight="1" x14ac:dyDescent="0.2">
      <c r="B36" s="13">
        <v>5102</v>
      </c>
      <c r="C36" s="14" t="s">
        <v>242</v>
      </c>
      <c r="D36" s="14" t="s">
        <v>242</v>
      </c>
      <c r="E36" s="15"/>
      <c r="F36" s="15"/>
      <c r="H36" s="16" t="str">
        <f>VLOOKUP(COA!D36,CONTROL!B27:D108,2,FALSE)</f>
        <v>Debet</v>
      </c>
      <c r="I36" s="16" t="str">
        <f>VLOOKUP(D36,CONTROL!B34:D114,3,FALSE)</f>
        <v>Laba Rugi</v>
      </c>
    </row>
    <row r="37" spans="2:9" s="121" customFormat="1" ht="15.75" customHeight="1" x14ac:dyDescent="0.2">
      <c r="B37" s="13">
        <v>5103</v>
      </c>
      <c r="C37" s="14" t="s">
        <v>243</v>
      </c>
      <c r="D37" s="14" t="s">
        <v>243</v>
      </c>
      <c r="E37" s="15"/>
      <c r="F37" s="15"/>
      <c r="H37" s="16" t="str">
        <f>VLOOKUP(COA!D37,CONTROL!B28:D109,2,FALSE)</f>
        <v>Debet</v>
      </c>
      <c r="I37" s="16" t="str">
        <f>VLOOKUP(D37,CONTROL!B35:D115,3,FALSE)</f>
        <v>Laba Rugi</v>
      </c>
    </row>
    <row r="38" spans="2:9" s="121" customFormat="1" ht="15.75" customHeight="1" x14ac:dyDescent="0.2">
      <c r="B38" s="13">
        <v>5104</v>
      </c>
      <c r="C38" s="14" t="s">
        <v>244</v>
      </c>
      <c r="D38" s="14" t="s">
        <v>244</v>
      </c>
      <c r="E38" s="15"/>
      <c r="F38" s="15"/>
      <c r="H38" s="16" t="str">
        <f>VLOOKUP(COA!D38,CONTROL!B29:D110,2,FALSE)</f>
        <v>Debet</v>
      </c>
      <c r="I38" s="16" t="str">
        <f>VLOOKUP(D38,CONTROL!B36:D116,3,FALSE)</f>
        <v>Laba Rugi</v>
      </c>
    </row>
    <row r="39" spans="2:9" s="121" customFormat="1" ht="15.75" customHeight="1" x14ac:dyDescent="0.2">
      <c r="B39" s="13">
        <v>5105</v>
      </c>
      <c r="C39" s="14" t="s">
        <v>245</v>
      </c>
      <c r="D39" s="14" t="s">
        <v>245</v>
      </c>
      <c r="E39" s="15"/>
      <c r="F39" s="15"/>
      <c r="H39" s="16" t="str">
        <f>VLOOKUP(COA!D39,CONTROL!B30:D111,2,FALSE)</f>
        <v>Debet</v>
      </c>
      <c r="I39" s="16" t="str">
        <f>VLOOKUP(D39,CONTROL!B37:D117,3,FALSE)</f>
        <v>Laba Rugi</v>
      </c>
    </row>
    <row r="40" spans="2:9" ht="15.75" customHeight="1" x14ac:dyDescent="0.2">
      <c r="B40" s="13">
        <v>5106</v>
      </c>
      <c r="C40" s="14" t="s">
        <v>246</v>
      </c>
      <c r="D40" s="14" t="s">
        <v>246</v>
      </c>
      <c r="E40" s="15"/>
      <c r="F40" s="15"/>
      <c r="H40" s="16" t="str">
        <f>VLOOKUP(COA!D40,CONTROL!B31:D112,2,FALSE)</f>
        <v>Debet</v>
      </c>
      <c r="I40" s="16" t="str">
        <f>VLOOKUP(D40,CONTROL!B38:D118,3,FALSE)</f>
        <v>Laba Rugi</v>
      </c>
    </row>
    <row r="41" spans="2:9" ht="15.75" customHeight="1" x14ac:dyDescent="0.2">
      <c r="B41" s="13">
        <v>5107</v>
      </c>
      <c r="C41" s="14" t="s">
        <v>247</v>
      </c>
      <c r="D41" s="14" t="s">
        <v>247</v>
      </c>
      <c r="E41" s="15"/>
      <c r="F41" s="15"/>
      <c r="H41" s="16" t="str">
        <f>VLOOKUP(COA!D41,CONTROL!B32:D113,2,FALSE)</f>
        <v>Debet</v>
      </c>
      <c r="I41" s="16" t="str">
        <f>VLOOKUP(D41,CONTROL!B39:D119,3,FALSE)</f>
        <v>Laba Rugi</v>
      </c>
    </row>
    <row r="42" spans="2:9" ht="15.75" customHeight="1" x14ac:dyDescent="0.2">
      <c r="B42" s="13">
        <v>5108</v>
      </c>
      <c r="C42" s="14" t="s">
        <v>249</v>
      </c>
      <c r="D42" s="14" t="s">
        <v>249</v>
      </c>
      <c r="E42" s="15"/>
      <c r="F42" s="15"/>
      <c r="H42" s="16" t="str">
        <f>VLOOKUP(COA!D42,CONTROL!B33:D114,2,FALSE)</f>
        <v>Debet</v>
      </c>
      <c r="I42" s="16" t="str">
        <f>VLOOKUP(D42,CONTROL!B40:D120,3,FALSE)</f>
        <v>Laba Rugi</v>
      </c>
    </row>
    <row r="43" spans="2:9" ht="15.75" customHeight="1" x14ac:dyDescent="0.2">
      <c r="B43" s="13">
        <v>5110</v>
      </c>
      <c r="C43" s="14" t="s">
        <v>149</v>
      </c>
      <c r="D43" s="14" t="s">
        <v>149</v>
      </c>
      <c r="E43" s="15"/>
      <c r="F43" s="15"/>
      <c r="H43" s="16" t="str">
        <f>VLOOKUP(COA!D43,CONTROL!B34:D115,2,FALSE)</f>
        <v>Debet</v>
      </c>
      <c r="I43" s="16" t="str">
        <f>VLOOKUP(D43,CONTROL!B41:D121,3,FALSE)</f>
        <v>Laba Rugi</v>
      </c>
    </row>
    <row r="44" spans="2:9" ht="15.75" customHeight="1" x14ac:dyDescent="0.2">
      <c r="B44" s="13">
        <v>5120</v>
      </c>
      <c r="C44" s="14" t="s">
        <v>250</v>
      </c>
      <c r="D44" s="14" t="s">
        <v>250</v>
      </c>
      <c r="E44" s="15"/>
      <c r="F44" s="15"/>
      <c r="H44" s="16" t="str">
        <f>VLOOKUP(COA!D44,CONTROL!B35:D116,2,FALSE)</f>
        <v>Debet</v>
      </c>
      <c r="I44" s="16" t="str">
        <f>VLOOKUP(D44,CONTROL!B42:D122,3,FALSE)</f>
        <v>Laba Rugi</v>
      </c>
    </row>
    <row r="45" spans="2:9" ht="15.75" customHeight="1" x14ac:dyDescent="0.2">
      <c r="B45" s="13">
        <v>5130</v>
      </c>
      <c r="C45" s="14" t="s">
        <v>251</v>
      </c>
      <c r="D45" s="14" t="s">
        <v>251</v>
      </c>
      <c r="E45" s="15"/>
      <c r="F45" s="15"/>
      <c r="H45" s="16" t="str">
        <f>VLOOKUP(COA!D45,CONTROL!B36:D117,2,FALSE)</f>
        <v>Debet</v>
      </c>
      <c r="I45" s="16" t="str">
        <f>VLOOKUP(D45,CONTROL!B43:D123,3,FALSE)</f>
        <v>Laba Rugi</v>
      </c>
    </row>
    <row r="46" spans="2:9" ht="15.75" customHeight="1" x14ac:dyDescent="0.2">
      <c r="B46" s="13">
        <v>5300</v>
      </c>
      <c r="C46" s="14" t="s">
        <v>252</v>
      </c>
      <c r="D46" s="14" t="s">
        <v>252</v>
      </c>
      <c r="E46" s="15"/>
      <c r="F46" s="15"/>
      <c r="H46" s="16" t="str">
        <f>VLOOKUP(COA!D46,CONTROL!B37:D118,2,FALSE)</f>
        <v>Debet</v>
      </c>
      <c r="I46" s="16" t="str">
        <f>VLOOKUP(D46,CONTROL!B44:D124,3,FALSE)</f>
        <v>Laba Rugi</v>
      </c>
    </row>
    <row r="47" spans="2:9" ht="15.75" customHeight="1" x14ac:dyDescent="0.2">
      <c r="B47" s="13">
        <v>5310</v>
      </c>
      <c r="C47" s="14" t="s">
        <v>253</v>
      </c>
      <c r="D47" s="14" t="s">
        <v>253</v>
      </c>
      <c r="E47" s="15"/>
      <c r="F47" s="15"/>
      <c r="H47" s="16" t="str">
        <f>VLOOKUP(COA!D47,CONTROL!B38:D119,2,FALSE)</f>
        <v>Debet</v>
      </c>
      <c r="I47" s="16" t="str">
        <f>VLOOKUP(D47,CONTROL!B45:D125,3,FALSE)</f>
        <v>Laba Rugi</v>
      </c>
    </row>
    <row r="48" spans="2:9" ht="15.75" customHeight="1" x14ac:dyDescent="0.2">
      <c r="B48" s="13">
        <v>5200</v>
      </c>
      <c r="C48" s="14" t="s">
        <v>254</v>
      </c>
      <c r="D48" s="14" t="s">
        <v>254</v>
      </c>
      <c r="E48" s="20"/>
      <c r="F48" s="20"/>
      <c r="H48" s="16" t="str">
        <f>VLOOKUP(COA!D48,CONTROL!B39:D120,2,FALSE)</f>
        <v>Debet</v>
      </c>
      <c r="I48" s="16" t="str">
        <f>VLOOKUP(D48,CONTROL!B46:D126,3,FALSE)</f>
        <v>Laba Rugi</v>
      </c>
    </row>
    <row r="49" spans="2:9" ht="15.75" customHeight="1" x14ac:dyDescent="0.2">
      <c r="B49" s="13">
        <v>5400</v>
      </c>
      <c r="C49" s="14" t="s">
        <v>255</v>
      </c>
      <c r="D49" s="14" t="s">
        <v>255</v>
      </c>
      <c r="E49" s="15"/>
      <c r="F49" s="15"/>
      <c r="H49" s="16" t="str">
        <f>VLOOKUP(COA!D49,CONTROL!B40:D121,2,FALSE)</f>
        <v>Debet</v>
      </c>
      <c r="I49" s="16" t="str">
        <f>VLOOKUP(D49,CONTROL!B47:D127,3,FALSE)</f>
        <v>Laba Rugi</v>
      </c>
    </row>
    <row r="50" spans="2:9" ht="15.75" customHeight="1" x14ac:dyDescent="0.2">
      <c r="B50" s="13">
        <v>5410</v>
      </c>
      <c r="C50" s="14" t="s">
        <v>256</v>
      </c>
      <c r="D50" s="14" t="s">
        <v>256</v>
      </c>
      <c r="E50" s="15"/>
      <c r="F50" s="15"/>
      <c r="H50" s="16" t="str">
        <f>VLOOKUP(COA!D50,CONTROL!B41:D122,2,FALSE)</f>
        <v>Debet</v>
      </c>
      <c r="I50" s="16" t="str">
        <f>VLOOKUP(D50,CONTROL!B48:D128,3,FALSE)</f>
        <v>Laba Rugi</v>
      </c>
    </row>
    <row r="51" spans="2:9" ht="15.75" customHeight="1" x14ac:dyDescent="0.2">
      <c r="B51" s="13">
        <v>5420</v>
      </c>
      <c r="C51" s="14" t="s">
        <v>257</v>
      </c>
      <c r="D51" s="14" t="s">
        <v>257</v>
      </c>
      <c r="E51" s="126"/>
      <c r="F51" s="126"/>
      <c r="H51" s="16" t="str">
        <f>VLOOKUP(COA!D51,CONTROL!B42:D123,2,FALSE)</f>
        <v>Debet</v>
      </c>
      <c r="I51" s="16" t="str">
        <f>VLOOKUP(D51,CONTROL!B49:D129,3,FALSE)</f>
        <v>Laba Rugi</v>
      </c>
    </row>
    <row r="52" spans="2:9" ht="15.75" customHeight="1" x14ac:dyDescent="0.2">
      <c r="B52" s="18">
        <v>5430</v>
      </c>
      <c r="C52" s="14" t="s">
        <v>258</v>
      </c>
      <c r="D52" s="19" t="s">
        <v>258</v>
      </c>
      <c r="E52" s="127"/>
      <c r="F52" s="127"/>
      <c r="H52" s="16" t="str">
        <f>VLOOKUP(COA!D52,CONTROL!B43:D124,2,FALSE)</f>
        <v>Debet</v>
      </c>
      <c r="I52" s="16" t="str">
        <f>VLOOKUP(D52,CONTROL!B50:D130,3,FALSE)</f>
        <v>Laba Rugi</v>
      </c>
    </row>
    <row r="53" spans="2:9" ht="15.75" customHeight="1" x14ac:dyDescent="0.2">
      <c r="B53" s="13">
        <v>5440</v>
      </c>
      <c r="C53" s="14" t="s">
        <v>169</v>
      </c>
      <c r="D53" s="14" t="s">
        <v>169</v>
      </c>
      <c r="E53" s="127"/>
      <c r="F53" s="127"/>
      <c r="H53" s="16" t="str">
        <f>VLOOKUP(COA!D53,CONTROL!B44:D125,2,FALSE)</f>
        <v>Debet</v>
      </c>
      <c r="I53" s="16" t="str">
        <f>VLOOKUP(D53,CONTROL!B51:D131,3,FALSE)</f>
        <v>Laba Rugi</v>
      </c>
    </row>
    <row r="54" spans="2:9" ht="15.75" customHeight="1" x14ac:dyDescent="0.2">
      <c r="B54" s="13">
        <v>5450</v>
      </c>
      <c r="C54" s="14" t="s">
        <v>171</v>
      </c>
      <c r="D54" s="14" t="s">
        <v>171</v>
      </c>
      <c r="E54" s="127"/>
      <c r="F54" s="127"/>
      <c r="H54" s="16" t="str">
        <f>VLOOKUP(COA!D54,CONTROL!B45:D126,2,FALSE)</f>
        <v>Debet</v>
      </c>
      <c r="I54" s="16" t="str">
        <f>VLOOKUP(D54,CONTROL!B52:D132,3,FALSE)</f>
        <v>Laba Rugi</v>
      </c>
    </row>
    <row r="55" spans="2:9" ht="15.75" customHeight="1" x14ac:dyDescent="0.2">
      <c r="B55" s="124">
        <v>5460</v>
      </c>
      <c r="C55" s="14" t="s">
        <v>259</v>
      </c>
      <c r="D55" s="125" t="s">
        <v>259</v>
      </c>
      <c r="E55" s="127"/>
      <c r="F55" s="127"/>
      <c r="H55" s="16" t="str">
        <f>VLOOKUP(COA!D55,CONTROL!B46:D127,2,FALSE)</f>
        <v>Debet</v>
      </c>
      <c r="I55" s="16" t="str">
        <f>VLOOKUP(D55,CONTROL!B53:D133,3,FALSE)</f>
        <v>Laba Rugi</v>
      </c>
    </row>
    <row r="56" spans="2:9" ht="15.75" customHeight="1" x14ac:dyDescent="0.2">
      <c r="B56" s="130">
        <v>5500</v>
      </c>
      <c r="C56" s="14" t="s">
        <v>260</v>
      </c>
      <c r="D56" s="125" t="s">
        <v>260</v>
      </c>
      <c r="E56" s="127"/>
      <c r="F56" s="127"/>
      <c r="H56" s="16" t="str">
        <f>VLOOKUP(COA!D56,CONTROL!B47:D128,2,FALSE)</f>
        <v>Debet</v>
      </c>
      <c r="I56" s="16" t="str">
        <f>VLOOKUP(D56,CONTROL!B54:D134,3,FALSE)</f>
        <v>Laba Rugi</v>
      </c>
    </row>
    <row r="57" spans="2:9" ht="15.75" customHeight="1" x14ac:dyDescent="0.2">
      <c r="B57" s="130">
        <v>5510</v>
      </c>
      <c r="C57" s="14" t="s">
        <v>261</v>
      </c>
      <c r="D57" s="125" t="s">
        <v>261</v>
      </c>
      <c r="E57" s="127"/>
      <c r="F57" s="127"/>
      <c r="H57" s="16" t="str">
        <f>VLOOKUP(COA!D57,CONTROL!B48:D129,2,FALSE)</f>
        <v>Debet</v>
      </c>
      <c r="I57" s="16" t="str">
        <f>VLOOKUP(D57,CONTROL!B55:D135,3,FALSE)</f>
        <v>Laba Rugi</v>
      </c>
    </row>
    <row r="58" spans="2:9" ht="15.75" customHeight="1" x14ac:dyDescent="0.2">
      <c r="B58" s="130">
        <v>5520</v>
      </c>
      <c r="C58" s="14" t="s">
        <v>262</v>
      </c>
      <c r="D58" s="125" t="s">
        <v>262</v>
      </c>
      <c r="E58" s="127"/>
      <c r="F58" s="127"/>
      <c r="H58" s="16" t="str">
        <f>VLOOKUP(COA!D58,CONTROL!B49:D130,2,FALSE)</f>
        <v>Debet</v>
      </c>
      <c r="I58" s="16" t="str">
        <f>VLOOKUP(D58,CONTROL!B56:D136,3,FALSE)</f>
        <v>Laba Rugi</v>
      </c>
    </row>
    <row r="59" spans="2:9" ht="15.75" customHeight="1" x14ac:dyDescent="0.2">
      <c r="B59" s="130">
        <v>5530</v>
      </c>
      <c r="C59" s="14" t="s">
        <v>263</v>
      </c>
      <c r="D59" s="125" t="s">
        <v>263</v>
      </c>
      <c r="E59" s="127"/>
      <c r="F59" s="127"/>
      <c r="H59" s="16" t="str">
        <f>VLOOKUP(COA!D59,CONTROL!B50:D131,2,FALSE)</f>
        <v>Debet</v>
      </c>
      <c r="I59" s="16" t="str">
        <f>VLOOKUP(D59,CONTROL!B57:D137,3,FALSE)</f>
        <v>Laba Rugi</v>
      </c>
    </row>
    <row r="60" spans="2:9" ht="15.75" customHeight="1" x14ac:dyDescent="0.2">
      <c r="B60" s="130">
        <v>5540</v>
      </c>
      <c r="C60" s="14" t="s">
        <v>264</v>
      </c>
      <c r="D60" s="125" t="s">
        <v>264</v>
      </c>
      <c r="E60" s="128"/>
      <c r="F60" s="128"/>
      <c r="H60" s="16" t="str">
        <f>VLOOKUP(COA!D60,CONTROL!B51:D132,2,FALSE)</f>
        <v>Debet</v>
      </c>
      <c r="I60" s="16" t="str">
        <f>VLOOKUP(D60,CONTROL!B58:D138,3,FALSE)</f>
        <v>Laba Rugi</v>
      </c>
    </row>
    <row r="61" spans="2:9" ht="15.75" customHeight="1" x14ac:dyDescent="0.2">
      <c r="B61" s="130">
        <v>5550</v>
      </c>
      <c r="C61" s="14" t="s">
        <v>265</v>
      </c>
      <c r="D61" s="125" t="s">
        <v>265</v>
      </c>
      <c r="E61" s="128"/>
      <c r="F61" s="128"/>
      <c r="H61" s="16" t="str">
        <f>VLOOKUP(COA!D61,CONTROL!B52:D133,2,FALSE)</f>
        <v>Debet</v>
      </c>
      <c r="I61" s="16" t="str">
        <f>VLOOKUP(D61,CONTROL!B59:D139,3,FALSE)</f>
        <v>Laba Rugi</v>
      </c>
    </row>
    <row r="62" spans="2:9" ht="15.75" customHeight="1" x14ac:dyDescent="0.2">
      <c r="B62" s="130">
        <v>5560</v>
      </c>
      <c r="C62" s="14" t="s">
        <v>266</v>
      </c>
      <c r="D62" s="125" t="s">
        <v>266</v>
      </c>
      <c r="E62" s="128"/>
      <c r="F62" s="128"/>
      <c r="H62" s="16" t="str">
        <f>VLOOKUP(COA!D62,CONTROL!B53:D134,2,FALSE)</f>
        <v>Debet</v>
      </c>
      <c r="I62" s="16" t="str">
        <f>VLOOKUP(D62,CONTROL!B60:D140,3,FALSE)</f>
        <v>Laba Rugi</v>
      </c>
    </row>
    <row r="63" spans="2:9" ht="15.75" customHeight="1" x14ac:dyDescent="0.2">
      <c r="B63" s="130">
        <v>5570</v>
      </c>
      <c r="C63" s="14" t="s">
        <v>267</v>
      </c>
      <c r="D63" s="125" t="s">
        <v>267</v>
      </c>
      <c r="E63" s="128"/>
      <c r="F63" s="128"/>
      <c r="H63" s="16" t="str">
        <f>VLOOKUP(COA!D63,CONTROL!B54:D135,2,FALSE)</f>
        <v>Debet</v>
      </c>
      <c r="I63" s="16" t="str">
        <f>VLOOKUP(D63,CONTROL!B61:D141,3,FALSE)</f>
        <v>Laba Rugi</v>
      </c>
    </row>
    <row r="64" spans="2:9" ht="15.75" customHeight="1" x14ac:dyDescent="0.2">
      <c r="B64" s="183">
        <v>5580</v>
      </c>
      <c r="C64" s="14" t="s">
        <v>268</v>
      </c>
      <c r="D64" s="125" t="s">
        <v>268</v>
      </c>
      <c r="E64" s="128"/>
      <c r="F64" s="128"/>
      <c r="H64" s="16" t="str">
        <f>VLOOKUP(COA!D64,CONTROL!B55:D136,2,FALSE)</f>
        <v>Debet</v>
      </c>
      <c r="I64" s="16" t="str">
        <f>VLOOKUP(D64,CONTROL!B62:D142,3,FALSE)</f>
        <v>Laba Rugi</v>
      </c>
    </row>
    <row r="65" spans="2:9" ht="15.75" customHeight="1" x14ac:dyDescent="0.2">
      <c r="B65" s="183">
        <v>5600</v>
      </c>
      <c r="C65" s="14" t="s">
        <v>192</v>
      </c>
      <c r="D65" s="125" t="s">
        <v>192</v>
      </c>
      <c r="E65" s="128"/>
      <c r="F65" s="128"/>
      <c r="H65" s="16" t="str">
        <f>VLOOKUP(COA!D65,CONTROL!B56:D137,2,FALSE)</f>
        <v>Debet</v>
      </c>
      <c r="I65" s="16" t="str">
        <f>VLOOKUP(D65,CONTROL!B63:D143,3,FALSE)</f>
        <v>Laba Rugi</v>
      </c>
    </row>
    <row r="66" spans="2:9" ht="15.75" customHeight="1" x14ac:dyDescent="0.2">
      <c r="B66" s="183">
        <v>5610</v>
      </c>
      <c r="C66" s="14" t="s">
        <v>270</v>
      </c>
      <c r="D66" s="125" t="s">
        <v>270</v>
      </c>
      <c r="E66" s="128"/>
      <c r="F66" s="128"/>
      <c r="H66" s="16" t="str">
        <f>VLOOKUP(COA!D66,CONTROL!B57:D138,2,FALSE)</f>
        <v>Debet</v>
      </c>
      <c r="I66" s="16" t="str">
        <f>VLOOKUP(D66,CONTROL!B64:D144,3,FALSE)</f>
        <v>Laba Rugi</v>
      </c>
    </row>
    <row r="67" spans="2:9" ht="15.75" customHeight="1" x14ac:dyDescent="0.2">
      <c r="B67" s="183">
        <v>5620</v>
      </c>
      <c r="C67" s="14" t="s">
        <v>269</v>
      </c>
      <c r="D67" s="125" t="s">
        <v>269</v>
      </c>
      <c r="E67" s="128"/>
      <c r="F67" s="128"/>
      <c r="H67" s="16" t="str">
        <f>VLOOKUP(COA!D67,CONTROL!B58:D139,2,FALSE)</f>
        <v>Debet</v>
      </c>
      <c r="I67" s="16" t="str">
        <f>VLOOKUP(D67,CONTROL!B65:D145,3,FALSE)</f>
        <v>Laba Rugi</v>
      </c>
    </row>
    <row r="68" spans="2:9" ht="15.75" customHeight="1" x14ac:dyDescent="0.2">
      <c r="B68" s="183">
        <v>5630</v>
      </c>
      <c r="C68" s="14" t="s">
        <v>194</v>
      </c>
      <c r="D68" s="125" t="s">
        <v>194</v>
      </c>
      <c r="E68" s="128"/>
      <c r="F68" s="128"/>
      <c r="H68" s="16" t="str">
        <f>VLOOKUP(COA!D68,CONTROL!B59:D140,2,FALSE)</f>
        <v>Debet</v>
      </c>
      <c r="I68" s="16" t="str">
        <f>VLOOKUP(D68,CONTROL!B66:D146,3,FALSE)</f>
        <v>Laba Rugi</v>
      </c>
    </row>
    <row r="69" spans="2:9" ht="15.75" customHeight="1" x14ac:dyDescent="0.2">
      <c r="B69" s="183">
        <v>6000</v>
      </c>
      <c r="C69" s="14" t="s">
        <v>275</v>
      </c>
      <c r="D69" s="125" t="s">
        <v>275</v>
      </c>
      <c r="E69" s="128"/>
      <c r="F69" s="128"/>
      <c r="H69" s="16" t="str">
        <f>VLOOKUP(COA!D69,CONTROL!B60:D141,2,FALSE)</f>
        <v>Debet</v>
      </c>
      <c r="I69" s="16" t="str">
        <f>VLOOKUP(D69,CONTROL!B67:D147,3,FALSE)</f>
        <v>Laba Rugi</v>
      </c>
    </row>
    <row r="70" spans="2:9" ht="15.75" customHeight="1" x14ac:dyDescent="0.2">
      <c r="B70" s="183">
        <v>6010</v>
      </c>
      <c r="C70" s="14" t="s">
        <v>276</v>
      </c>
      <c r="D70" s="125" t="s">
        <v>276</v>
      </c>
      <c r="E70" s="128"/>
      <c r="F70" s="128"/>
      <c r="H70" s="16" t="str">
        <f>VLOOKUP(COA!D70,CONTROL!B61:D142,2,FALSE)</f>
        <v>Debet</v>
      </c>
      <c r="I70" s="16" t="str">
        <f>VLOOKUP(D70,CONTROL!B68:D148,3,FALSE)</f>
        <v>Laba Rugi</v>
      </c>
    </row>
    <row r="71" spans="2:9" ht="15.75" customHeight="1" x14ac:dyDescent="0.2">
      <c r="B71" s="183">
        <v>6020</v>
      </c>
      <c r="C71" s="14" t="s">
        <v>277</v>
      </c>
      <c r="D71" s="125" t="s">
        <v>277</v>
      </c>
      <c r="E71" s="128"/>
      <c r="F71" s="128"/>
      <c r="H71" s="16" t="str">
        <f>VLOOKUP(COA!D71,CONTROL!B62:D143,2,FALSE)</f>
        <v>Debet</v>
      </c>
      <c r="I71" s="16" t="str">
        <f>VLOOKUP(D71,CONTROL!B69:D149,3,FALSE)</f>
        <v>Laba Rugi</v>
      </c>
    </row>
    <row r="72" spans="2:9" ht="15.75" customHeight="1" x14ac:dyDescent="0.2">
      <c r="B72" s="183">
        <v>6030</v>
      </c>
      <c r="C72" s="14" t="s">
        <v>278</v>
      </c>
      <c r="D72" s="125" t="s">
        <v>278</v>
      </c>
      <c r="E72" s="128"/>
      <c r="F72" s="128"/>
      <c r="H72" s="16" t="str">
        <f>VLOOKUP(COA!D72,CONTROL!B63:D144,2,FALSE)</f>
        <v>Debet</v>
      </c>
      <c r="I72" s="16" t="str">
        <f>VLOOKUP(D72,CONTROL!B70:D150,3,FALSE)</f>
        <v>Laba Rugi</v>
      </c>
    </row>
    <row r="73" spans="2:9" ht="15.75" customHeight="1" x14ac:dyDescent="0.2">
      <c r="B73" s="183">
        <v>6040</v>
      </c>
      <c r="C73" s="14" t="s">
        <v>279</v>
      </c>
      <c r="D73" s="125" t="s">
        <v>279</v>
      </c>
      <c r="E73" s="128"/>
      <c r="F73" s="128"/>
      <c r="H73" s="16" t="str">
        <f>VLOOKUP(COA!D73,CONTROL!B64:D145,2,FALSE)</f>
        <v>Debet</v>
      </c>
      <c r="I73" s="16" t="str">
        <f>VLOOKUP(D73,CONTROL!B71:D151,3,FALSE)</f>
        <v>Laba Rugi</v>
      </c>
    </row>
    <row r="74" spans="2:9" ht="15.75" customHeight="1" x14ac:dyDescent="0.2">
      <c r="B74" s="183">
        <v>6050</v>
      </c>
      <c r="C74" s="14" t="s">
        <v>280</v>
      </c>
      <c r="D74" s="125" t="s">
        <v>280</v>
      </c>
      <c r="E74" s="128"/>
      <c r="F74" s="128"/>
      <c r="H74" s="16" t="str">
        <f>VLOOKUP(COA!D74,CONTROL!B65:D146,2,FALSE)</f>
        <v>Debet</v>
      </c>
      <c r="I74" s="16" t="str">
        <f>VLOOKUP(D74,CONTROL!B72:D152,3,FALSE)</f>
        <v>Laba Rugi</v>
      </c>
    </row>
    <row r="75" spans="2:9" ht="15.75" customHeight="1" x14ac:dyDescent="0.2">
      <c r="B75" s="183">
        <v>6060</v>
      </c>
      <c r="C75" s="14" t="s">
        <v>281</v>
      </c>
      <c r="D75" s="125" t="s">
        <v>281</v>
      </c>
      <c r="E75" s="163"/>
      <c r="F75" s="163"/>
      <c r="H75" s="16" t="str">
        <f>VLOOKUP(COA!D75,CONTROL!B66:D147,2,FALSE)</f>
        <v>Debet</v>
      </c>
      <c r="I75" s="16" t="str">
        <f>VLOOKUP(D75,CONTROL!B73:D153,3,FALSE)</f>
        <v>Laba Rugi</v>
      </c>
    </row>
    <row r="76" spans="2:9" ht="15.75" customHeight="1" x14ac:dyDescent="0.2">
      <c r="B76" s="183">
        <v>6070</v>
      </c>
      <c r="C76" s="14" t="s">
        <v>282</v>
      </c>
      <c r="D76" s="125" t="s">
        <v>282</v>
      </c>
      <c r="E76" s="128"/>
      <c r="F76" s="128"/>
      <c r="H76" s="16" t="str">
        <f>VLOOKUP(COA!D76,CONTROL!B67:D148,2,FALSE)</f>
        <v>Debet</v>
      </c>
      <c r="I76" s="16" t="str">
        <f>VLOOKUP(D76,CONTROL!B74:D154,3,FALSE)</f>
        <v>Laba Rugi</v>
      </c>
    </row>
    <row r="77" spans="2:9" ht="15.75" customHeight="1" x14ac:dyDescent="0.2">
      <c r="B77" s="183">
        <v>6080</v>
      </c>
      <c r="C77" s="14" t="s">
        <v>271</v>
      </c>
      <c r="D77" s="125" t="s">
        <v>271</v>
      </c>
      <c r="E77" s="128"/>
      <c r="F77" s="128"/>
      <c r="H77" s="16" t="str">
        <f>VLOOKUP(COA!D77,CONTROL!B68:D149,2,FALSE)</f>
        <v>Debet</v>
      </c>
      <c r="I77" s="16" t="str">
        <f>VLOOKUP(D77,CONTROL!B75:D155,3,FALSE)</f>
        <v>Laba Rugi</v>
      </c>
    </row>
    <row r="78" spans="2:9" ht="15.75" customHeight="1" x14ac:dyDescent="0.2">
      <c r="B78" s="183">
        <v>6090</v>
      </c>
      <c r="C78" s="14" t="s">
        <v>283</v>
      </c>
      <c r="D78" s="125" t="s">
        <v>283</v>
      </c>
      <c r="E78" s="128"/>
      <c r="F78" s="128"/>
      <c r="H78" s="16" t="str">
        <f>VLOOKUP(COA!D78,CONTROL!B69:D150,2,FALSE)</f>
        <v>Debet</v>
      </c>
      <c r="I78" s="16" t="str">
        <f>VLOOKUP(D78,CONTROL!B76:D156,3,FALSE)</f>
        <v>Laba Rugi</v>
      </c>
    </row>
    <row r="79" spans="2:9" ht="15.75" customHeight="1" x14ac:dyDescent="0.2">
      <c r="B79" s="184">
        <v>6100</v>
      </c>
      <c r="C79" s="14" t="s">
        <v>272</v>
      </c>
      <c r="D79" s="125" t="s">
        <v>272</v>
      </c>
      <c r="E79" s="128"/>
      <c r="F79" s="128"/>
      <c r="H79" s="16" t="str">
        <f>VLOOKUP(COA!D79,CONTROL!B70:D151,2,FALSE)</f>
        <v>Debet</v>
      </c>
      <c r="I79" s="16" t="str">
        <f>VLOOKUP(D79,CONTROL!B77:D157,3,FALSE)</f>
        <v>Laba Rugi</v>
      </c>
    </row>
    <row r="80" spans="2:9" ht="15.75" customHeight="1" x14ac:dyDescent="0.2">
      <c r="B80" s="183">
        <v>6110</v>
      </c>
      <c r="C80" s="14" t="s">
        <v>284</v>
      </c>
      <c r="D80" s="127" t="s">
        <v>284</v>
      </c>
      <c r="E80" s="128"/>
      <c r="F80" s="128"/>
      <c r="H80" s="16" t="str">
        <f>VLOOKUP(COA!D80,CONTROL!B71:D152,2,FALSE)</f>
        <v>Debet</v>
      </c>
      <c r="I80" s="16" t="str">
        <f>VLOOKUP(D80,CONTROL!B78:D158,3,FALSE)</f>
        <v>Laba Rugi</v>
      </c>
    </row>
    <row r="81" spans="2:9" ht="15.75" customHeight="1" x14ac:dyDescent="0.2">
      <c r="B81" s="183">
        <v>6120</v>
      </c>
      <c r="C81" s="14" t="s">
        <v>327</v>
      </c>
      <c r="D81" s="127" t="s">
        <v>273</v>
      </c>
      <c r="E81" s="128"/>
      <c r="F81" s="128"/>
      <c r="H81" s="16" t="e">
        <f>VLOOKUP(COA!D81,CONTROL!B72:D153,2,FALSE)</f>
        <v>#N/A</v>
      </c>
      <c r="I81" s="16" t="e">
        <f>VLOOKUP(D81,CONTROL!B79:D159,3,FALSE)</f>
        <v>#N/A</v>
      </c>
    </row>
    <row r="82" spans="2:9" ht="15.75" customHeight="1" x14ac:dyDescent="0.2">
      <c r="B82" s="183">
        <v>6130</v>
      </c>
      <c r="C82" s="14" t="s">
        <v>274</v>
      </c>
      <c r="D82" s="127" t="s">
        <v>274</v>
      </c>
      <c r="E82" s="128"/>
      <c r="F82" s="128"/>
      <c r="H82" s="16" t="str">
        <f>VLOOKUP(COA!D82,CONTROL!B73:D154,2,FALSE)</f>
        <v>Debet</v>
      </c>
      <c r="I82" s="16" t="str">
        <f>VLOOKUP(D82,CONTROL!B80:D160,3,FALSE)</f>
        <v>Laba Rugi</v>
      </c>
    </row>
    <row r="83" spans="2:9" ht="15.75" customHeight="1" x14ac:dyDescent="0.2">
      <c r="B83" s="183">
        <v>7000</v>
      </c>
      <c r="C83" s="14" t="s">
        <v>220</v>
      </c>
      <c r="D83" s="127" t="s">
        <v>220</v>
      </c>
      <c r="E83" s="128"/>
      <c r="F83" s="128"/>
      <c r="H83" s="16" t="str">
        <f>VLOOKUP(COA!D83,CONTROL!B74:D155,2,FALSE)</f>
        <v>Kredit</v>
      </c>
      <c r="I83" s="16" t="str">
        <f>VLOOKUP(D83,CONTROL!B81:D161,3,FALSE)</f>
        <v>Debet</v>
      </c>
    </row>
    <row r="84" spans="2:9" ht="15.75" customHeight="1" x14ac:dyDescent="0.2">
      <c r="B84" s="183">
        <v>8000</v>
      </c>
      <c r="C84" s="14" t="s">
        <v>226</v>
      </c>
      <c r="D84" s="127" t="s">
        <v>226</v>
      </c>
      <c r="E84" s="128"/>
      <c r="F84" s="128"/>
      <c r="H84" s="16" t="str">
        <f>VLOOKUP(COA!D84,CONTROL!B75:D156,2,FALSE)</f>
        <v>Debet</v>
      </c>
      <c r="I84" s="16" t="str">
        <f>VLOOKUP(D84,CONTROL!B82:D162,3,FALSE)</f>
        <v>Laba Rugi</v>
      </c>
    </row>
    <row r="85" spans="2:9" ht="15.75" customHeight="1" x14ac:dyDescent="0.2">
      <c r="B85" s="183">
        <v>8010</v>
      </c>
      <c r="C85" s="14" t="s">
        <v>213</v>
      </c>
      <c r="D85" s="127" t="s">
        <v>213</v>
      </c>
      <c r="E85" s="128"/>
      <c r="F85" s="128"/>
      <c r="H85" s="16" t="str">
        <f>VLOOKUP(COA!D85,CONTROL!B76:D157,2,FALSE)</f>
        <v>Debet</v>
      </c>
      <c r="I85" s="16" t="str">
        <f>VLOOKUP(D85,CONTROL!B83:D163,3,FALSE)</f>
        <v>Laba Rugi</v>
      </c>
    </row>
    <row r="86" spans="2:9" ht="15.75" customHeight="1" x14ac:dyDescent="0.15"/>
    <row r="87" spans="2:9" ht="15.75" customHeight="1" x14ac:dyDescent="0.15"/>
    <row r="88" spans="2:9" ht="15.75" customHeight="1" x14ac:dyDescent="0.15"/>
    <row r="89" spans="2:9" ht="15.75" customHeight="1" x14ac:dyDescent="0.15"/>
    <row r="90" spans="2:9" ht="15.75" customHeight="1" x14ac:dyDescent="0.15"/>
    <row r="91" spans="2:9" ht="15.75" customHeight="1" x14ac:dyDescent="0.15"/>
    <row r="92" spans="2:9" ht="15.75" customHeight="1" x14ac:dyDescent="0.15"/>
    <row r="93" spans="2:9" ht="15.75" customHeight="1" x14ac:dyDescent="0.15"/>
    <row r="94" spans="2:9" ht="15.75" customHeight="1" x14ac:dyDescent="0.15"/>
    <row r="95" spans="2:9" ht="15.75" customHeight="1" x14ac:dyDescent="0.15"/>
    <row r="96" spans="2:9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</sheetData>
  <mergeCells count="1">
    <mergeCell ref="B2:F2"/>
  </mergeCells>
  <dataValidations count="1">
    <dataValidation type="list" allowBlank="1" showErrorMessage="1" sqref="D5:D85" xr:uid="{00000000-0002-0000-0100-000000000000}">
      <formula1>Type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53"/>
  <sheetViews>
    <sheetView workbookViewId="0">
      <selection activeCell="B80" sqref="B80"/>
    </sheetView>
  </sheetViews>
  <sheetFormatPr baseColWidth="10" defaultColWidth="12.6640625" defaultRowHeight="15" customHeight="1" outlineLevelCol="1" x14ac:dyDescent="0.15"/>
  <cols>
    <col min="1" max="1" width="11.33203125" customWidth="1"/>
    <col min="2" max="2" width="29.1640625" customWidth="1"/>
    <col min="3" max="3" width="14.1640625" customWidth="1"/>
    <col min="4" max="4" width="12.6640625" customWidth="1"/>
    <col min="5" max="5" width="8.6640625" customWidth="1"/>
    <col min="6" max="6" width="28" hidden="1" customWidth="1" outlineLevel="1"/>
    <col min="7" max="7" width="24.6640625" hidden="1" customWidth="1" outlineLevel="1"/>
    <col min="8" max="8" width="14.33203125" customWidth="1" collapsed="1"/>
    <col min="9" max="24" width="14.33203125" customWidth="1"/>
  </cols>
  <sheetData>
    <row r="1" spans="2:7" x14ac:dyDescent="0.2">
      <c r="F1" s="7" t="s">
        <v>21</v>
      </c>
      <c r="G1" s="7"/>
    </row>
    <row r="2" spans="2:7" x14ac:dyDescent="0.15">
      <c r="B2" s="22" t="s">
        <v>22</v>
      </c>
      <c r="C2" s="22" t="s">
        <v>23</v>
      </c>
      <c r="D2" s="22" t="s">
        <v>24</v>
      </c>
      <c r="F2" s="222" t="s">
        <v>4</v>
      </c>
      <c r="G2" s="221"/>
    </row>
    <row r="3" spans="2:7" ht="16" x14ac:dyDescent="0.2">
      <c r="B3" s="14" t="s">
        <v>9</v>
      </c>
      <c r="C3" s="23" t="s">
        <v>5</v>
      </c>
      <c r="D3" s="16" t="s">
        <v>25</v>
      </c>
      <c r="F3" s="24" t="s">
        <v>26</v>
      </c>
      <c r="G3" s="25">
        <f>SUMIF(NRC_TYPE,F3,NRCSALDO)</f>
        <v>0</v>
      </c>
    </row>
    <row r="4" spans="2:7" ht="16" x14ac:dyDescent="0.2">
      <c r="B4" s="14" t="s">
        <v>10</v>
      </c>
      <c r="C4" s="23" t="s">
        <v>5</v>
      </c>
      <c r="D4" s="16" t="s">
        <v>25</v>
      </c>
      <c r="F4" s="24" t="s">
        <v>27</v>
      </c>
      <c r="G4" s="25">
        <f>SUMIF(NRC_TYPE,F4,NRCSALDO)</f>
        <v>0</v>
      </c>
    </row>
    <row r="5" spans="2:7" ht="16" x14ac:dyDescent="0.2">
      <c r="B5" s="14" t="s">
        <v>11</v>
      </c>
      <c r="C5" s="23" t="s">
        <v>5</v>
      </c>
      <c r="D5" s="16" t="s">
        <v>25</v>
      </c>
      <c r="F5" s="24" t="s">
        <v>28</v>
      </c>
      <c r="G5" s="25">
        <f>SUMIF(NRC_TYPE,F5,NRCSALDO)</f>
        <v>0</v>
      </c>
    </row>
    <row r="6" spans="2:7" ht="16" x14ac:dyDescent="0.2">
      <c r="B6" s="14" t="s">
        <v>12</v>
      </c>
      <c r="C6" s="23" t="s">
        <v>5</v>
      </c>
      <c r="D6" s="16" t="s">
        <v>25</v>
      </c>
      <c r="F6" s="24" t="s">
        <v>29</v>
      </c>
      <c r="G6" s="25">
        <f>SUMIF(NRC_TYPE,F6,NRCSALDO)</f>
        <v>0</v>
      </c>
    </row>
    <row r="7" spans="2:7" ht="16" x14ac:dyDescent="0.2">
      <c r="B7" s="14" t="s">
        <v>13</v>
      </c>
      <c r="C7" s="23" t="s">
        <v>5</v>
      </c>
      <c r="D7" s="16" t="s">
        <v>25</v>
      </c>
      <c r="F7" s="24" t="s">
        <v>30</v>
      </c>
      <c r="G7" s="25">
        <f>SUMIF(NRC_TYPE,F7,NRCSALDO)</f>
        <v>-515685</v>
      </c>
    </row>
    <row r="8" spans="2:7" ht="16" x14ac:dyDescent="0.2">
      <c r="B8" s="14" t="s">
        <v>14</v>
      </c>
      <c r="C8" s="23" t="s">
        <v>5</v>
      </c>
      <c r="D8" s="16" t="s">
        <v>25</v>
      </c>
      <c r="F8" s="24" t="s">
        <v>31</v>
      </c>
      <c r="G8" s="25">
        <f>-SUMIF(NRC_TYPE,F8,NRCSALDO)</f>
        <v>0</v>
      </c>
    </row>
    <row r="9" spans="2:7" ht="16" x14ac:dyDescent="0.2">
      <c r="B9" s="14" t="s">
        <v>15</v>
      </c>
      <c r="C9" s="23" t="s">
        <v>5</v>
      </c>
      <c r="D9" s="16" t="s">
        <v>25</v>
      </c>
      <c r="F9" s="24" t="s">
        <v>32</v>
      </c>
      <c r="G9" s="25">
        <f>SUMIF(NRC_TYPE,F9,NRCSALDO)</f>
        <v>0</v>
      </c>
    </row>
    <row r="10" spans="2:7" ht="16" x14ac:dyDescent="0.2">
      <c r="B10" s="14" t="s">
        <v>16</v>
      </c>
      <c r="C10" s="23" t="s">
        <v>6</v>
      </c>
      <c r="D10" s="16" t="s">
        <v>25</v>
      </c>
      <c r="F10" s="24" t="s">
        <v>33</v>
      </c>
      <c r="G10" s="25">
        <f>SUMIF(NRC_TYPE,F10,NRCSALDO)</f>
        <v>0</v>
      </c>
    </row>
    <row r="11" spans="2:7" ht="16" x14ac:dyDescent="0.2">
      <c r="B11" s="14" t="s">
        <v>17</v>
      </c>
      <c r="C11" s="23" t="s">
        <v>6</v>
      </c>
      <c r="D11" s="16" t="s">
        <v>25</v>
      </c>
      <c r="F11" s="24" t="s">
        <v>34</v>
      </c>
      <c r="G11" s="25">
        <f>SUMIF(NRC_TYPE,F11,NRCSALDO)</f>
        <v>0</v>
      </c>
    </row>
    <row r="12" spans="2:7" ht="16" x14ac:dyDescent="0.2">
      <c r="B12" s="14" t="s">
        <v>18</v>
      </c>
      <c r="C12" s="23" t="s">
        <v>6</v>
      </c>
      <c r="D12" s="16" t="s">
        <v>25</v>
      </c>
      <c r="F12" s="24" t="s">
        <v>35</v>
      </c>
      <c r="G12" s="25">
        <f>SUMIF(NRC_TYPE,F12,NRCSALDO)</f>
        <v>0</v>
      </c>
    </row>
    <row r="13" spans="2:7" s="120" customFormat="1" ht="16" x14ac:dyDescent="0.2">
      <c r="B13" s="14" t="s">
        <v>233</v>
      </c>
      <c r="C13" s="23" t="s">
        <v>6</v>
      </c>
      <c r="D13" s="16" t="s">
        <v>25</v>
      </c>
      <c r="F13" s="24"/>
      <c r="G13" s="25"/>
    </row>
    <row r="14" spans="2:7" s="120" customFormat="1" ht="16" x14ac:dyDescent="0.2">
      <c r="B14" s="14" t="s">
        <v>128</v>
      </c>
      <c r="C14" s="23" t="s">
        <v>6</v>
      </c>
      <c r="D14" s="16" t="s">
        <v>25</v>
      </c>
      <c r="F14" s="24"/>
      <c r="G14" s="25"/>
    </row>
    <row r="15" spans="2:7" s="120" customFormat="1" ht="16" x14ac:dyDescent="0.2">
      <c r="B15" s="14" t="s">
        <v>234</v>
      </c>
      <c r="C15" s="23" t="s">
        <v>6</v>
      </c>
      <c r="D15" s="16" t="s">
        <v>25</v>
      </c>
      <c r="F15" s="24"/>
      <c r="G15" s="25"/>
    </row>
    <row r="16" spans="2:7" s="120" customFormat="1" ht="16" x14ac:dyDescent="0.2">
      <c r="B16" s="14" t="s">
        <v>235</v>
      </c>
      <c r="C16" s="23" t="s">
        <v>6</v>
      </c>
      <c r="D16" s="16" t="s">
        <v>25</v>
      </c>
      <c r="F16" s="24"/>
      <c r="G16" s="25"/>
    </row>
    <row r="17" spans="2:7" ht="16" x14ac:dyDescent="0.2">
      <c r="B17" s="14" t="s">
        <v>19</v>
      </c>
      <c r="C17" s="23" t="s">
        <v>6</v>
      </c>
      <c r="D17" s="16" t="s">
        <v>25</v>
      </c>
      <c r="F17" s="24" t="s">
        <v>36</v>
      </c>
      <c r="G17" s="25" t="e">
        <f>SUMIF(NRC_TYPE,F17,NRCSALDO)</f>
        <v>#N/A</v>
      </c>
    </row>
    <row r="18" spans="2:7" ht="16" x14ac:dyDescent="0.2">
      <c r="B18" s="14" t="s">
        <v>20</v>
      </c>
      <c r="C18" s="23" t="s">
        <v>6</v>
      </c>
      <c r="D18" s="16" t="s">
        <v>25</v>
      </c>
      <c r="F18" s="24" t="s">
        <v>37</v>
      </c>
      <c r="G18" s="25" t="e">
        <f ca="1">SUMIF(LRTYPE,F18,LRSLDO)</f>
        <v>#REF!</v>
      </c>
    </row>
    <row r="19" spans="2:7" ht="16" x14ac:dyDescent="0.2">
      <c r="B19" s="14" t="s">
        <v>228</v>
      </c>
      <c r="C19" s="23" t="s">
        <v>6</v>
      </c>
      <c r="D19" s="16" t="s">
        <v>38</v>
      </c>
      <c r="F19" s="24" t="s">
        <v>39</v>
      </c>
      <c r="G19" s="25">
        <f ca="1">SUMIF(LRTYPE,F19,LRSLDO)</f>
        <v>0</v>
      </c>
    </row>
    <row r="20" spans="2:7" ht="16" x14ac:dyDescent="0.2">
      <c r="B20" s="14" t="s">
        <v>229</v>
      </c>
      <c r="C20" s="23" t="s">
        <v>6</v>
      </c>
      <c r="D20" s="16" t="s">
        <v>38</v>
      </c>
      <c r="F20" s="24" t="s">
        <v>40</v>
      </c>
      <c r="G20" s="25" t="e">
        <f ca="1">-SUMIF(LRTYPE,F20,LRSLDO)</f>
        <v>#REF!</v>
      </c>
    </row>
    <row r="21" spans="2:7" ht="16" x14ac:dyDescent="0.2">
      <c r="B21" s="14" t="s">
        <v>230</v>
      </c>
      <c r="C21" s="23" t="s">
        <v>6</v>
      </c>
      <c r="D21" s="16" t="s">
        <v>38</v>
      </c>
      <c r="F21" s="24" t="s">
        <v>41</v>
      </c>
      <c r="G21" s="25" t="e">
        <f ca="1">-SUMIF(LRTYPE,F21,LRSLDO)</f>
        <v>#REF!</v>
      </c>
    </row>
    <row r="22" spans="2:7" ht="16" x14ac:dyDescent="0.2">
      <c r="B22" s="14" t="s">
        <v>287</v>
      </c>
      <c r="C22" s="23" t="s">
        <v>6</v>
      </c>
      <c r="D22" s="16" t="s">
        <v>38</v>
      </c>
      <c r="F22" s="24" t="s">
        <v>42</v>
      </c>
      <c r="G22" s="25" t="e">
        <f ca="1">-SUMIF(LRTYPE,F22,LRSLDO)</f>
        <v>#REF!</v>
      </c>
    </row>
    <row r="23" spans="2:7" ht="16" x14ac:dyDescent="0.2">
      <c r="B23" s="14" t="s">
        <v>231</v>
      </c>
      <c r="C23" s="23" t="s">
        <v>6</v>
      </c>
      <c r="D23" s="16" t="s">
        <v>38</v>
      </c>
      <c r="F23" s="7"/>
      <c r="G23" s="7"/>
    </row>
    <row r="24" spans="2:7" ht="16" x14ac:dyDescent="0.2">
      <c r="B24" s="14" t="s">
        <v>285</v>
      </c>
      <c r="C24" s="23" t="s">
        <v>6</v>
      </c>
      <c r="D24" s="16" t="s">
        <v>38</v>
      </c>
    </row>
    <row r="25" spans="2:7" s="120" customFormat="1" ht="16" x14ac:dyDescent="0.2">
      <c r="B25" s="14" t="s">
        <v>286</v>
      </c>
      <c r="C25" s="23" t="s">
        <v>5</v>
      </c>
      <c r="D25" s="16" t="s">
        <v>38</v>
      </c>
    </row>
    <row r="26" spans="2:7" ht="15.75" customHeight="1" x14ac:dyDescent="0.2">
      <c r="B26" s="14" t="s">
        <v>232</v>
      </c>
      <c r="C26" s="23" t="s">
        <v>5</v>
      </c>
      <c r="D26" s="16" t="s">
        <v>38</v>
      </c>
    </row>
    <row r="27" spans="2:7" s="120" customFormat="1" ht="15.75" customHeight="1" x14ac:dyDescent="0.2">
      <c r="B27" s="14" t="s">
        <v>236</v>
      </c>
      <c r="C27" s="23" t="s">
        <v>5</v>
      </c>
      <c r="D27" s="16" t="s">
        <v>38</v>
      </c>
    </row>
    <row r="28" spans="2:7" s="120" customFormat="1" ht="15.75" customHeight="1" x14ac:dyDescent="0.2">
      <c r="B28" s="14" t="s">
        <v>237</v>
      </c>
      <c r="C28" s="23" t="s">
        <v>5</v>
      </c>
      <c r="D28" s="16" t="s">
        <v>38</v>
      </c>
    </row>
    <row r="29" spans="2:7" s="120" customFormat="1" ht="15.75" customHeight="1" x14ac:dyDescent="0.2">
      <c r="B29" s="14" t="s">
        <v>238</v>
      </c>
      <c r="C29" s="23" t="s">
        <v>5</v>
      </c>
      <c r="D29" s="16" t="s">
        <v>38</v>
      </c>
    </row>
    <row r="30" spans="2:7" s="120" customFormat="1" ht="15.75" customHeight="1" x14ac:dyDescent="0.2">
      <c r="B30" s="14" t="s">
        <v>239</v>
      </c>
      <c r="C30" s="23" t="s">
        <v>5</v>
      </c>
      <c r="D30" s="16" t="s">
        <v>38</v>
      </c>
    </row>
    <row r="31" spans="2:7" s="120" customFormat="1" ht="15.75" customHeight="1" x14ac:dyDescent="0.2">
      <c r="B31" s="14" t="s">
        <v>240</v>
      </c>
      <c r="C31" s="23" t="s">
        <v>5</v>
      </c>
      <c r="D31" s="16" t="s">
        <v>38</v>
      </c>
    </row>
    <row r="32" spans="2:7" s="120" customFormat="1" ht="15.75" customHeight="1" x14ac:dyDescent="0.2">
      <c r="B32" s="14" t="s">
        <v>241</v>
      </c>
      <c r="C32" s="23" t="s">
        <v>5</v>
      </c>
      <c r="D32" s="16" t="s">
        <v>38</v>
      </c>
    </row>
    <row r="33" spans="2:4" s="120" customFormat="1" ht="15.75" customHeight="1" x14ac:dyDescent="0.2">
      <c r="B33" s="14" t="s">
        <v>248</v>
      </c>
      <c r="C33" s="23" t="s">
        <v>5</v>
      </c>
      <c r="D33" s="16" t="s">
        <v>38</v>
      </c>
    </row>
    <row r="34" spans="2:4" s="120" customFormat="1" ht="15.75" customHeight="1" x14ac:dyDescent="0.2">
      <c r="B34" s="14" t="s">
        <v>242</v>
      </c>
      <c r="C34" s="23" t="s">
        <v>5</v>
      </c>
      <c r="D34" s="16" t="s">
        <v>38</v>
      </c>
    </row>
    <row r="35" spans="2:4" s="120" customFormat="1" ht="15.75" customHeight="1" x14ac:dyDescent="0.2">
      <c r="B35" s="14" t="s">
        <v>243</v>
      </c>
      <c r="C35" s="23" t="s">
        <v>5</v>
      </c>
      <c r="D35" s="16" t="s">
        <v>38</v>
      </c>
    </row>
    <row r="36" spans="2:4" s="120" customFormat="1" ht="15.75" customHeight="1" x14ac:dyDescent="0.2">
      <c r="B36" s="14" t="s">
        <v>244</v>
      </c>
      <c r="C36" s="23" t="s">
        <v>5</v>
      </c>
      <c r="D36" s="16" t="s">
        <v>38</v>
      </c>
    </row>
    <row r="37" spans="2:4" s="120" customFormat="1" ht="15.75" customHeight="1" x14ac:dyDescent="0.2">
      <c r="B37" s="14" t="s">
        <v>245</v>
      </c>
      <c r="C37" s="23" t="s">
        <v>5</v>
      </c>
      <c r="D37" s="16" t="s">
        <v>38</v>
      </c>
    </row>
    <row r="38" spans="2:4" s="120" customFormat="1" ht="15.75" customHeight="1" x14ac:dyDescent="0.2">
      <c r="B38" s="14" t="s">
        <v>246</v>
      </c>
      <c r="C38" s="23" t="s">
        <v>5</v>
      </c>
      <c r="D38" s="16" t="s">
        <v>38</v>
      </c>
    </row>
    <row r="39" spans="2:4" s="120" customFormat="1" ht="15.75" customHeight="1" x14ac:dyDescent="0.2">
      <c r="B39" s="14" t="s">
        <v>247</v>
      </c>
      <c r="C39" s="23" t="s">
        <v>5</v>
      </c>
      <c r="D39" s="16" t="s">
        <v>38</v>
      </c>
    </row>
    <row r="40" spans="2:4" s="120" customFormat="1" ht="15.75" customHeight="1" x14ac:dyDescent="0.2">
      <c r="B40" s="14" t="s">
        <v>249</v>
      </c>
      <c r="C40" s="23" t="s">
        <v>5</v>
      </c>
      <c r="D40" s="16" t="s">
        <v>38</v>
      </c>
    </row>
    <row r="41" spans="2:4" s="120" customFormat="1" ht="15.75" customHeight="1" x14ac:dyDescent="0.2">
      <c r="B41" s="14" t="s">
        <v>149</v>
      </c>
      <c r="C41" s="23" t="s">
        <v>5</v>
      </c>
      <c r="D41" s="16" t="s">
        <v>38</v>
      </c>
    </row>
    <row r="42" spans="2:4" s="120" customFormat="1" ht="15.75" customHeight="1" x14ac:dyDescent="0.2">
      <c r="B42" s="14" t="s">
        <v>250</v>
      </c>
      <c r="C42" s="23" t="s">
        <v>5</v>
      </c>
      <c r="D42" s="16" t="s">
        <v>38</v>
      </c>
    </row>
    <row r="43" spans="2:4" s="120" customFormat="1" ht="15.75" customHeight="1" x14ac:dyDescent="0.2">
      <c r="B43" s="14" t="s">
        <v>251</v>
      </c>
      <c r="C43" s="23" t="s">
        <v>5</v>
      </c>
      <c r="D43" s="16" t="s">
        <v>38</v>
      </c>
    </row>
    <row r="44" spans="2:4" ht="15.75" customHeight="1" x14ac:dyDescent="0.2">
      <c r="B44" s="14" t="s">
        <v>252</v>
      </c>
      <c r="C44" s="23" t="s">
        <v>5</v>
      </c>
      <c r="D44" s="16" t="s">
        <v>38</v>
      </c>
    </row>
    <row r="45" spans="2:4" ht="15.75" customHeight="1" x14ac:dyDescent="0.2">
      <c r="B45" s="14" t="s">
        <v>253</v>
      </c>
      <c r="C45" s="23" t="s">
        <v>5</v>
      </c>
      <c r="D45" s="16" t="s">
        <v>38</v>
      </c>
    </row>
    <row r="46" spans="2:4" ht="15.75" customHeight="1" x14ac:dyDescent="0.2">
      <c r="B46" s="14" t="s">
        <v>254</v>
      </c>
      <c r="C46" s="23" t="s">
        <v>5</v>
      </c>
      <c r="D46" s="16" t="s">
        <v>38</v>
      </c>
    </row>
    <row r="47" spans="2:4" ht="15.75" customHeight="1" x14ac:dyDescent="0.2">
      <c r="B47" s="14" t="s">
        <v>255</v>
      </c>
      <c r="C47" s="23" t="s">
        <v>5</v>
      </c>
      <c r="D47" s="16" t="s">
        <v>38</v>
      </c>
    </row>
    <row r="48" spans="2:4" ht="15.75" customHeight="1" x14ac:dyDescent="0.2">
      <c r="B48" s="14" t="s">
        <v>256</v>
      </c>
      <c r="C48" s="23" t="s">
        <v>5</v>
      </c>
      <c r="D48" s="16" t="s">
        <v>38</v>
      </c>
    </row>
    <row r="49" spans="2:4" ht="15.75" customHeight="1" x14ac:dyDescent="0.2">
      <c r="B49" s="14" t="s">
        <v>257</v>
      </c>
      <c r="C49" s="23" t="s">
        <v>5</v>
      </c>
      <c r="D49" s="16" t="s">
        <v>38</v>
      </c>
    </row>
    <row r="50" spans="2:4" ht="15.75" customHeight="1" x14ac:dyDescent="0.2">
      <c r="B50" s="14" t="s">
        <v>258</v>
      </c>
      <c r="C50" s="23" t="s">
        <v>5</v>
      </c>
      <c r="D50" s="16" t="s">
        <v>38</v>
      </c>
    </row>
    <row r="51" spans="2:4" ht="15.75" customHeight="1" x14ac:dyDescent="0.2">
      <c r="B51" s="14" t="s">
        <v>169</v>
      </c>
      <c r="C51" s="23" t="s">
        <v>5</v>
      </c>
      <c r="D51" s="16" t="s">
        <v>38</v>
      </c>
    </row>
    <row r="52" spans="2:4" ht="15.75" customHeight="1" x14ac:dyDescent="0.2">
      <c r="B52" s="14" t="s">
        <v>171</v>
      </c>
      <c r="C52" s="23" t="s">
        <v>5</v>
      </c>
      <c r="D52" s="16" t="s">
        <v>38</v>
      </c>
    </row>
    <row r="53" spans="2:4" s="120" customFormat="1" ht="15.75" customHeight="1" x14ac:dyDescent="0.2">
      <c r="B53" s="14" t="s">
        <v>259</v>
      </c>
      <c r="C53" s="23" t="s">
        <v>5</v>
      </c>
      <c r="D53" s="16" t="s">
        <v>38</v>
      </c>
    </row>
    <row r="54" spans="2:4" s="120" customFormat="1" ht="15.75" customHeight="1" x14ac:dyDescent="0.2">
      <c r="B54" s="14" t="s">
        <v>260</v>
      </c>
      <c r="C54" s="23" t="s">
        <v>5</v>
      </c>
      <c r="D54" s="16" t="s">
        <v>38</v>
      </c>
    </row>
    <row r="55" spans="2:4" s="120" customFormat="1" ht="15.75" customHeight="1" x14ac:dyDescent="0.2">
      <c r="B55" s="14" t="s">
        <v>261</v>
      </c>
      <c r="C55" s="23" t="s">
        <v>5</v>
      </c>
      <c r="D55" s="16" t="s">
        <v>38</v>
      </c>
    </row>
    <row r="56" spans="2:4" s="120" customFormat="1" ht="15.75" customHeight="1" x14ac:dyDescent="0.2">
      <c r="B56" s="14" t="s">
        <v>262</v>
      </c>
      <c r="C56" s="23" t="s">
        <v>5</v>
      </c>
      <c r="D56" s="16" t="s">
        <v>38</v>
      </c>
    </row>
    <row r="57" spans="2:4" s="120" customFormat="1" ht="15.75" customHeight="1" x14ac:dyDescent="0.2">
      <c r="B57" s="14" t="s">
        <v>263</v>
      </c>
      <c r="C57" s="23" t="s">
        <v>5</v>
      </c>
      <c r="D57" s="16" t="s">
        <v>38</v>
      </c>
    </row>
    <row r="58" spans="2:4" s="120" customFormat="1" ht="15.75" customHeight="1" x14ac:dyDescent="0.2">
      <c r="B58" s="14" t="s">
        <v>264</v>
      </c>
      <c r="C58" s="23" t="s">
        <v>5</v>
      </c>
      <c r="D58" s="16" t="s">
        <v>38</v>
      </c>
    </row>
    <row r="59" spans="2:4" s="120" customFormat="1" ht="15.75" customHeight="1" x14ac:dyDescent="0.2">
      <c r="B59" s="14" t="s">
        <v>265</v>
      </c>
      <c r="C59" s="23" t="s">
        <v>5</v>
      </c>
      <c r="D59" s="16" t="s">
        <v>38</v>
      </c>
    </row>
    <row r="60" spans="2:4" s="120" customFormat="1" ht="15.75" customHeight="1" x14ac:dyDescent="0.2">
      <c r="B60" s="14" t="s">
        <v>266</v>
      </c>
      <c r="C60" s="23" t="s">
        <v>5</v>
      </c>
      <c r="D60" s="16" t="s">
        <v>38</v>
      </c>
    </row>
    <row r="61" spans="2:4" s="120" customFormat="1" ht="15.75" customHeight="1" x14ac:dyDescent="0.2">
      <c r="B61" s="14" t="s">
        <v>267</v>
      </c>
      <c r="C61" s="23" t="s">
        <v>5</v>
      </c>
      <c r="D61" s="16" t="s">
        <v>38</v>
      </c>
    </row>
    <row r="62" spans="2:4" s="120" customFormat="1" ht="15.75" customHeight="1" x14ac:dyDescent="0.2">
      <c r="B62" s="14" t="s">
        <v>268</v>
      </c>
      <c r="C62" s="23" t="s">
        <v>5</v>
      </c>
      <c r="D62" s="16" t="s">
        <v>38</v>
      </c>
    </row>
    <row r="63" spans="2:4" s="120" customFormat="1" ht="15.75" customHeight="1" x14ac:dyDescent="0.2">
      <c r="B63" s="14" t="s">
        <v>192</v>
      </c>
      <c r="C63" s="23" t="s">
        <v>5</v>
      </c>
      <c r="D63" s="16" t="s">
        <v>38</v>
      </c>
    </row>
    <row r="64" spans="2:4" s="120" customFormat="1" ht="15.75" customHeight="1" x14ac:dyDescent="0.2">
      <c r="B64" s="14" t="s">
        <v>270</v>
      </c>
      <c r="C64" s="23" t="s">
        <v>5</v>
      </c>
      <c r="D64" s="16" t="s">
        <v>38</v>
      </c>
    </row>
    <row r="65" spans="2:4" s="120" customFormat="1" ht="15.75" customHeight="1" x14ac:dyDescent="0.2">
      <c r="B65" s="14" t="s">
        <v>269</v>
      </c>
      <c r="C65" s="23" t="s">
        <v>5</v>
      </c>
      <c r="D65" s="16" t="s">
        <v>38</v>
      </c>
    </row>
    <row r="66" spans="2:4" s="120" customFormat="1" ht="15.75" customHeight="1" x14ac:dyDescent="0.2">
      <c r="B66" s="14" t="s">
        <v>194</v>
      </c>
      <c r="C66" s="23" t="s">
        <v>5</v>
      </c>
      <c r="D66" s="16" t="s">
        <v>38</v>
      </c>
    </row>
    <row r="67" spans="2:4" s="120" customFormat="1" ht="15.75" customHeight="1" x14ac:dyDescent="0.2">
      <c r="B67" s="14" t="s">
        <v>275</v>
      </c>
      <c r="C67" s="23" t="s">
        <v>5</v>
      </c>
      <c r="D67" s="16" t="s">
        <v>38</v>
      </c>
    </row>
    <row r="68" spans="2:4" s="120" customFormat="1" ht="15.75" customHeight="1" x14ac:dyDescent="0.2">
      <c r="B68" s="14" t="s">
        <v>276</v>
      </c>
      <c r="C68" s="23" t="s">
        <v>5</v>
      </c>
      <c r="D68" s="16" t="s">
        <v>38</v>
      </c>
    </row>
    <row r="69" spans="2:4" s="120" customFormat="1" ht="15.75" customHeight="1" x14ac:dyDescent="0.2">
      <c r="B69" s="14" t="s">
        <v>277</v>
      </c>
      <c r="C69" s="23" t="s">
        <v>5</v>
      </c>
      <c r="D69" s="16" t="s">
        <v>38</v>
      </c>
    </row>
    <row r="70" spans="2:4" s="120" customFormat="1" ht="15.75" customHeight="1" x14ac:dyDescent="0.2">
      <c r="B70" s="14" t="s">
        <v>278</v>
      </c>
      <c r="C70" s="23" t="s">
        <v>5</v>
      </c>
      <c r="D70" s="16" t="s">
        <v>38</v>
      </c>
    </row>
    <row r="71" spans="2:4" s="120" customFormat="1" ht="15.75" customHeight="1" x14ac:dyDescent="0.2">
      <c r="B71" s="14" t="s">
        <v>279</v>
      </c>
      <c r="C71" s="23" t="s">
        <v>5</v>
      </c>
      <c r="D71" s="16" t="s">
        <v>38</v>
      </c>
    </row>
    <row r="72" spans="2:4" s="120" customFormat="1" ht="15.75" customHeight="1" x14ac:dyDescent="0.2">
      <c r="B72" s="14" t="s">
        <v>280</v>
      </c>
      <c r="C72" s="23" t="s">
        <v>5</v>
      </c>
      <c r="D72" s="16" t="s">
        <v>38</v>
      </c>
    </row>
    <row r="73" spans="2:4" s="120" customFormat="1" ht="15.75" customHeight="1" x14ac:dyDescent="0.2">
      <c r="B73" s="14" t="s">
        <v>281</v>
      </c>
      <c r="C73" s="23" t="s">
        <v>5</v>
      </c>
      <c r="D73" s="16" t="s">
        <v>38</v>
      </c>
    </row>
    <row r="74" spans="2:4" s="120" customFormat="1" ht="15.75" customHeight="1" x14ac:dyDescent="0.2">
      <c r="B74" s="14" t="s">
        <v>282</v>
      </c>
      <c r="C74" s="23" t="s">
        <v>5</v>
      </c>
      <c r="D74" s="16" t="s">
        <v>38</v>
      </c>
    </row>
    <row r="75" spans="2:4" s="120" customFormat="1" ht="15.75" customHeight="1" x14ac:dyDescent="0.2">
      <c r="B75" s="14" t="s">
        <v>271</v>
      </c>
      <c r="C75" s="23" t="s">
        <v>5</v>
      </c>
      <c r="D75" s="16" t="s">
        <v>38</v>
      </c>
    </row>
    <row r="76" spans="2:4" s="120" customFormat="1" ht="15.75" customHeight="1" x14ac:dyDescent="0.2">
      <c r="B76" s="14" t="s">
        <v>283</v>
      </c>
      <c r="C76" s="23" t="s">
        <v>5</v>
      </c>
      <c r="D76" s="16" t="s">
        <v>38</v>
      </c>
    </row>
    <row r="77" spans="2:4" s="120" customFormat="1" ht="15.75" customHeight="1" x14ac:dyDescent="0.2">
      <c r="B77" s="14" t="s">
        <v>272</v>
      </c>
      <c r="C77" s="23" t="s">
        <v>5</v>
      </c>
      <c r="D77" s="16" t="s">
        <v>38</v>
      </c>
    </row>
    <row r="78" spans="2:4" s="120" customFormat="1" ht="15.75" customHeight="1" x14ac:dyDescent="0.2">
      <c r="B78" s="14" t="s">
        <v>284</v>
      </c>
      <c r="C78" s="23" t="s">
        <v>5</v>
      </c>
      <c r="D78" s="16" t="s">
        <v>38</v>
      </c>
    </row>
    <row r="79" spans="2:4" s="120" customFormat="1" ht="15.75" customHeight="1" x14ac:dyDescent="0.2">
      <c r="B79" s="14" t="s">
        <v>327</v>
      </c>
      <c r="C79" s="23" t="s">
        <v>5</v>
      </c>
      <c r="D79" s="16" t="s">
        <v>38</v>
      </c>
    </row>
    <row r="80" spans="2:4" s="120" customFormat="1" ht="15.75" customHeight="1" x14ac:dyDescent="0.2">
      <c r="B80" s="14" t="s">
        <v>274</v>
      </c>
      <c r="C80" s="23" t="s">
        <v>5</v>
      </c>
      <c r="D80" s="16" t="s">
        <v>38</v>
      </c>
    </row>
    <row r="81" spans="2:4" s="120" customFormat="1" ht="15.75" customHeight="1" x14ac:dyDescent="0.2">
      <c r="B81" s="14" t="s">
        <v>220</v>
      </c>
      <c r="C81" s="23" t="s">
        <v>6</v>
      </c>
      <c r="D81" s="16" t="s">
        <v>5</v>
      </c>
    </row>
    <row r="82" spans="2:4" s="120" customFormat="1" ht="15.75" customHeight="1" x14ac:dyDescent="0.2">
      <c r="B82" s="14" t="s">
        <v>226</v>
      </c>
      <c r="C82" s="23" t="s">
        <v>5</v>
      </c>
      <c r="D82" s="16" t="s">
        <v>38</v>
      </c>
    </row>
    <row r="83" spans="2:4" s="120" customFormat="1" ht="15.75" customHeight="1" x14ac:dyDescent="0.2">
      <c r="B83" s="14" t="s">
        <v>213</v>
      </c>
      <c r="C83" s="23" t="s">
        <v>5</v>
      </c>
      <c r="D83" s="16" t="s">
        <v>38</v>
      </c>
    </row>
    <row r="84" spans="2:4" ht="15.75" customHeight="1" x14ac:dyDescent="0.2">
      <c r="B84" s="14"/>
      <c r="C84" s="23"/>
      <c r="D84" s="16"/>
    </row>
    <row r="85" spans="2:4" ht="15.75" customHeight="1" x14ac:dyDescent="0.15">
      <c r="B85" s="122"/>
    </row>
    <row r="86" spans="2:4" ht="15.75" customHeight="1" x14ac:dyDescent="0.15">
      <c r="B86" s="122"/>
    </row>
    <row r="87" spans="2:4" ht="15.75" customHeight="1" x14ac:dyDescent="0.15">
      <c r="B87" s="120"/>
    </row>
    <row r="88" spans="2:4" ht="15.75" customHeight="1" x14ac:dyDescent="0.15">
      <c r="B88" s="120"/>
    </row>
    <row r="89" spans="2:4" ht="15.75" customHeight="1" x14ac:dyDescent="0.15">
      <c r="B89" s="120"/>
    </row>
    <row r="90" spans="2:4" ht="15.75" customHeight="1" x14ac:dyDescent="0.15">
      <c r="B90" s="120"/>
    </row>
    <row r="91" spans="2:4" ht="15.75" customHeight="1" x14ac:dyDescent="0.15">
      <c r="B91" s="120"/>
    </row>
    <row r="92" spans="2:4" ht="15.75" customHeight="1" x14ac:dyDescent="0.15">
      <c r="B92" s="120"/>
    </row>
    <row r="93" spans="2:4" ht="15.75" customHeight="1" x14ac:dyDescent="0.15">
      <c r="B93" s="120"/>
    </row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  <row r="1050" ht="15.75" customHeight="1" x14ac:dyDescent="0.15"/>
    <row r="1051" ht="15.75" customHeight="1" x14ac:dyDescent="0.15"/>
    <row r="1052" ht="15.75" customHeight="1" x14ac:dyDescent="0.15"/>
    <row r="1053" ht="15.75" customHeight="1" x14ac:dyDescent="0.15"/>
  </sheetData>
  <mergeCells count="1">
    <mergeCell ref="F2:G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277"/>
  <sheetViews>
    <sheetView tabSelected="1" topLeftCell="A485" workbookViewId="0">
      <selection activeCell="B506" sqref="B506:B520"/>
    </sheetView>
  </sheetViews>
  <sheetFormatPr baseColWidth="10" defaultColWidth="12.6640625" defaultRowHeight="15" customHeight="1" outlineLevelCol="1" x14ac:dyDescent="0.15"/>
  <cols>
    <col min="1" max="2" width="12" customWidth="1"/>
    <col min="3" max="3" width="8.83203125" customWidth="1"/>
    <col min="4" max="4" width="53.6640625" customWidth="1"/>
    <col min="5" max="5" width="14.83203125" customWidth="1"/>
    <col min="6" max="6" width="32.83203125" customWidth="1"/>
    <col min="7" max="7" width="16.33203125" customWidth="1"/>
    <col min="8" max="8" width="18.6640625" customWidth="1"/>
    <col min="9" max="9" width="3.1640625" customWidth="1"/>
    <col min="10" max="10" width="8" hidden="1" customWidth="1" outlineLevel="1"/>
    <col min="11" max="11" width="8.6640625" hidden="1" customWidth="1" outlineLevel="1"/>
    <col min="12" max="12" width="12.83203125" customWidth="1" collapsed="1"/>
    <col min="13" max="26" width="14.33203125" customWidth="1"/>
  </cols>
  <sheetData>
    <row r="1" spans="2:11" ht="1.5" customHeight="1" x14ac:dyDescent="0.15"/>
    <row r="2" spans="2:11" ht="30.75" customHeight="1" x14ac:dyDescent="0.15">
      <c r="B2" s="223" t="s">
        <v>43</v>
      </c>
      <c r="C2" s="224"/>
      <c r="D2" s="224"/>
      <c r="E2" s="224"/>
      <c r="F2" s="224"/>
      <c r="G2" s="224"/>
      <c r="H2" s="224"/>
    </row>
    <row r="3" spans="2:11" ht="7.5" customHeight="1" x14ac:dyDescent="0.15">
      <c r="B3" s="26"/>
      <c r="C3" s="26"/>
      <c r="D3" s="26"/>
      <c r="E3" s="26"/>
      <c r="F3" s="26"/>
      <c r="G3" s="26"/>
      <c r="H3" s="26"/>
    </row>
    <row r="4" spans="2:11" ht="19.5" customHeight="1" x14ac:dyDescent="0.2">
      <c r="F4" s="27" t="str">
        <f>IF(G4=H4,"BALANCE","CEK KEMBALI")</f>
        <v>CEK KEMBALI</v>
      </c>
      <c r="G4" s="28">
        <f>SUM(G7:G180)</f>
        <v>129849716</v>
      </c>
      <c r="H4" s="28">
        <f>SUM(H7:H180)</f>
        <v>207577079</v>
      </c>
    </row>
    <row r="5" spans="2:11" ht="5.25" customHeight="1" x14ac:dyDescent="0.15"/>
    <row r="6" spans="2:11" ht="16" x14ac:dyDescent="0.15">
      <c r="B6" s="12" t="s">
        <v>44</v>
      </c>
      <c r="C6" s="12" t="s">
        <v>45</v>
      </c>
      <c r="D6" s="199" t="s">
        <v>46</v>
      </c>
      <c r="E6" s="12" t="s">
        <v>47</v>
      </c>
      <c r="F6" s="12" t="s">
        <v>3</v>
      </c>
      <c r="G6" s="199" t="s">
        <v>48</v>
      </c>
      <c r="H6" s="199" t="s">
        <v>6</v>
      </c>
      <c r="J6" s="29" t="s">
        <v>49</v>
      </c>
      <c r="K6" s="29"/>
    </row>
    <row r="7" spans="2:11" x14ac:dyDescent="0.2">
      <c r="B7" s="30" t="s">
        <v>331</v>
      </c>
      <c r="C7" s="198"/>
      <c r="D7" s="202" t="s">
        <v>228</v>
      </c>
      <c r="E7" s="200">
        <v>4110</v>
      </c>
      <c r="F7" s="198" t="str">
        <f t="array" ref="F7">IFERROR(INDEX(COA!$C$5:$C$59,MATCH(JURNAL!E7,COA!$B$5:$B$59,0)),"")</f>
        <v>Pendapatan jasa</v>
      </c>
      <c r="G7" s="204">
        <v>6912662</v>
      </c>
      <c r="H7" s="204"/>
      <c r="J7" s="7" t="str">
        <f t="shared" ref="J7:J116" si="0">IF(E7="","",COUNTIF($E$7:E7,E7)&amp;E7)</f>
        <v>14110</v>
      </c>
    </row>
    <row r="8" spans="2:11" x14ac:dyDescent="0.2">
      <c r="B8" s="30" t="s">
        <v>331</v>
      </c>
      <c r="C8" s="198"/>
      <c r="D8" s="202" t="s">
        <v>330</v>
      </c>
      <c r="E8" s="200"/>
      <c r="F8" s="198" t="str">
        <f t="array" ref="F8">IFERROR(INDEX(COA!$C$5:$C$59,MATCH(JURNAL!E8,COA!$B$5:$B$59,0)),"")</f>
        <v/>
      </c>
      <c r="G8" s="204">
        <v>392280</v>
      </c>
      <c r="H8" s="204"/>
      <c r="J8" s="7" t="str">
        <f t="shared" si="0"/>
        <v/>
      </c>
    </row>
    <row r="9" spans="2:11" x14ac:dyDescent="0.2">
      <c r="B9" s="30" t="s">
        <v>331</v>
      </c>
      <c r="C9" s="198"/>
      <c r="D9" s="202" t="s">
        <v>334</v>
      </c>
      <c r="E9" s="200">
        <v>6080</v>
      </c>
      <c r="F9" s="198" t="str">
        <f t="array" ref="F9">IFERROR(INDEX(COA!$C$5:$C$59,MATCH(JURNAL!E9,COA!$B$5:$B$59,0)),"")</f>
        <v/>
      </c>
      <c r="G9" s="204"/>
      <c r="H9" s="204">
        <v>76500</v>
      </c>
      <c r="J9" s="7" t="str">
        <f t="shared" si="0"/>
        <v>16080</v>
      </c>
    </row>
    <row r="10" spans="2:11" x14ac:dyDescent="0.2">
      <c r="B10" s="30" t="s">
        <v>331</v>
      </c>
      <c r="C10" s="198"/>
      <c r="D10" s="202" t="s">
        <v>335</v>
      </c>
      <c r="E10" s="200">
        <v>5010</v>
      </c>
      <c r="F10" s="198" t="str">
        <f t="array" ref="F10">IFERROR(INDEX(COA!$C$5:$C$59,MATCH(JURNAL!E10,COA!$B$5:$B$59,0)),"")</f>
        <v>Hpp sole</v>
      </c>
      <c r="G10" s="204"/>
      <c r="H10" s="204">
        <v>133500</v>
      </c>
      <c r="J10" s="7" t="str">
        <f t="shared" si="0"/>
        <v>15010</v>
      </c>
    </row>
    <row r="11" spans="2:11" x14ac:dyDescent="0.2">
      <c r="B11" s="30" t="s">
        <v>331</v>
      </c>
      <c r="C11" s="198"/>
      <c r="D11" s="202" t="s">
        <v>336</v>
      </c>
      <c r="E11" s="200">
        <v>5010</v>
      </c>
      <c r="F11" s="198" t="str">
        <f t="array" ref="F11">IFERROR(INDEX(COA!$C$5:$C$59,MATCH(JURNAL!E11,COA!$B$5:$B$59,0)),"")</f>
        <v>Hpp sole</v>
      </c>
      <c r="G11" s="204"/>
      <c r="H11" s="204">
        <v>316500</v>
      </c>
      <c r="J11" s="7" t="str">
        <f t="shared" si="0"/>
        <v>25010</v>
      </c>
    </row>
    <row r="12" spans="2:11" x14ac:dyDescent="0.2">
      <c r="B12" s="30" t="s">
        <v>331</v>
      </c>
      <c r="C12" s="198"/>
      <c r="D12" s="202" t="s">
        <v>337</v>
      </c>
      <c r="E12" s="200">
        <v>5010</v>
      </c>
      <c r="F12" s="198" t="str">
        <f t="array" ref="F12">IFERROR(INDEX(COA!$C$5:$C$59,MATCH(JURNAL!E12,COA!$B$5:$B$59,0)),"")</f>
        <v>Hpp sole</v>
      </c>
      <c r="G12" s="204"/>
      <c r="H12" s="204">
        <v>424000</v>
      </c>
      <c r="J12" s="7" t="str">
        <f t="shared" si="0"/>
        <v>35010</v>
      </c>
    </row>
    <row r="13" spans="2:11" x14ac:dyDescent="0.2">
      <c r="B13" s="30" t="s">
        <v>331</v>
      </c>
      <c r="C13" s="198"/>
      <c r="D13" s="202" t="s">
        <v>338</v>
      </c>
      <c r="E13" s="200">
        <v>5010</v>
      </c>
      <c r="F13" s="198" t="str">
        <f t="array" ref="F13">IFERROR(INDEX(COA!$C$5:$C$59,MATCH(JURNAL!E13,COA!$B$5:$B$59,0)),"")</f>
        <v>Hpp sole</v>
      </c>
      <c r="G13" s="204"/>
      <c r="H13" s="204">
        <v>649799</v>
      </c>
      <c r="J13" s="7" t="str">
        <f t="shared" si="0"/>
        <v>45010</v>
      </c>
    </row>
    <row r="14" spans="2:11" x14ac:dyDescent="0.2">
      <c r="B14" s="30" t="s">
        <v>331</v>
      </c>
      <c r="C14" s="198"/>
      <c r="D14" s="202" t="s">
        <v>339</v>
      </c>
      <c r="E14" s="200">
        <v>5010</v>
      </c>
      <c r="F14" s="198" t="str">
        <f t="array" ref="F14">IFERROR(INDEX(COA!$C$5:$C$59,MATCH(JURNAL!E14,COA!$B$5:$B$59,0)),"")</f>
        <v>Hpp sole</v>
      </c>
      <c r="G14" s="204"/>
      <c r="H14" s="204">
        <v>18970</v>
      </c>
      <c r="J14" s="7" t="str">
        <f t="shared" si="0"/>
        <v>55010</v>
      </c>
    </row>
    <row r="15" spans="2:11" x14ac:dyDescent="0.2">
      <c r="B15" s="30" t="s">
        <v>331</v>
      </c>
      <c r="C15" s="198"/>
      <c r="D15" s="202" t="s">
        <v>340</v>
      </c>
      <c r="E15" s="200">
        <v>5010</v>
      </c>
      <c r="F15" s="198" t="str">
        <f t="array" ref="F15">IFERROR(INDEX(COA!$C$5:$C$59,MATCH(JURNAL!E15,COA!$B$5:$B$59,0)),"")</f>
        <v>Hpp sole</v>
      </c>
      <c r="G15" s="204"/>
      <c r="H15" s="204">
        <v>5968</v>
      </c>
      <c r="J15" s="7" t="str">
        <f t="shared" si="0"/>
        <v>65010</v>
      </c>
    </row>
    <row r="16" spans="2:11" x14ac:dyDescent="0.2">
      <c r="B16" s="30" t="s">
        <v>331</v>
      </c>
      <c r="C16" s="198"/>
      <c r="D16" s="202" t="s">
        <v>341</v>
      </c>
      <c r="E16" s="200">
        <v>5010</v>
      </c>
      <c r="F16" s="198" t="str">
        <f t="array" ref="F16">IFERROR(INDEX(COA!$C$5:$C$59,MATCH(JURNAL!E16,COA!$B$5:$B$59,0)),"")</f>
        <v>Hpp sole</v>
      </c>
      <c r="G16" s="204"/>
      <c r="H16" s="204">
        <v>43620</v>
      </c>
      <c r="J16" s="7" t="str">
        <f t="shared" si="0"/>
        <v>75010</v>
      </c>
    </row>
    <row r="17" spans="2:12" x14ac:dyDescent="0.2">
      <c r="B17" s="30" t="s">
        <v>331</v>
      </c>
      <c r="C17" s="198"/>
      <c r="D17" s="202" t="s">
        <v>342</v>
      </c>
      <c r="E17" s="200">
        <v>5010</v>
      </c>
      <c r="F17" s="198" t="str">
        <f t="array" ref="F17">IFERROR(INDEX(COA!$C$5:$C$59,MATCH(JURNAL!E17,COA!$B$5:$B$59,0)),"")</f>
        <v>Hpp sole</v>
      </c>
      <c r="G17" s="204"/>
      <c r="H17" s="204">
        <v>17648</v>
      </c>
      <c r="J17" s="7" t="str">
        <f t="shared" si="0"/>
        <v>85010</v>
      </c>
    </row>
    <row r="18" spans="2:12" x14ac:dyDescent="0.2">
      <c r="B18" s="30" t="s">
        <v>331</v>
      </c>
      <c r="C18" s="198"/>
      <c r="D18" s="202" t="s">
        <v>343</v>
      </c>
      <c r="E18" s="200">
        <v>5310</v>
      </c>
      <c r="F18" s="198" t="str">
        <f t="array" ref="F18">IFERROR(INDEX(COA!$C$5:$C$59,MATCH(JURNAL!E18,COA!$B$5:$B$59,0)),"")</f>
        <v>Biaya ekspedisi &amp; ongkir</v>
      </c>
      <c r="G18" s="204"/>
      <c r="H18" s="204">
        <v>58975</v>
      </c>
      <c r="J18" s="7" t="str">
        <f t="shared" si="0"/>
        <v>15310</v>
      </c>
    </row>
    <row r="19" spans="2:12" x14ac:dyDescent="0.2">
      <c r="B19" s="30" t="s">
        <v>331</v>
      </c>
      <c r="C19" s="198"/>
      <c r="D19" s="202" t="s">
        <v>344</v>
      </c>
      <c r="E19" s="200">
        <v>5040</v>
      </c>
      <c r="F19" s="198" t="str">
        <f t="array" ref="F19">IFERROR(INDEX(COA!$C$5:$C$59,MATCH(JURNAL!E19,COA!$B$5:$B$59,0)),"")</f>
        <v>Hpp Vibram</v>
      </c>
      <c r="G19" s="204"/>
      <c r="H19" s="204">
        <v>497000</v>
      </c>
      <c r="J19" s="7" t="str">
        <f t="shared" si="0"/>
        <v>15040</v>
      </c>
    </row>
    <row r="20" spans="2:12" x14ac:dyDescent="0.2">
      <c r="B20" s="30" t="s">
        <v>331</v>
      </c>
      <c r="C20" s="198"/>
      <c r="D20" s="202" t="s">
        <v>345</v>
      </c>
      <c r="E20" s="200">
        <v>6000</v>
      </c>
      <c r="F20" s="198" t="str">
        <f t="array" ref="F20">IFERROR(INDEX(COA!$C$5:$C$59,MATCH(JURNAL!E20,COA!$B$5:$B$59,0)),"")</f>
        <v/>
      </c>
      <c r="G20" s="204"/>
      <c r="H20" s="204">
        <v>20000</v>
      </c>
      <c r="J20" s="7" t="str">
        <f t="shared" si="0"/>
        <v>16000</v>
      </c>
    </row>
    <row r="21" spans="2:12" ht="15.75" customHeight="1" x14ac:dyDescent="0.2">
      <c r="B21" s="30" t="s">
        <v>331</v>
      </c>
      <c r="C21" s="198"/>
      <c r="D21" s="203" t="s">
        <v>346</v>
      </c>
      <c r="E21" s="200">
        <v>5010</v>
      </c>
      <c r="F21" s="198" t="str">
        <f t="array" ref="F21">IFERROR(INDEX(COA!$C$5:$C$59,MATCH(JURNAL!E21,COA!$B$5:$B$59,0)),"")</f>
        <v>Hpp sole</v>
      </c>
      <c r="G21" s="204"/>
      <c r="H21" s="204">
        <v>36000</v>
      </c>
      <c r="J21" s="7" t="str">
        <f t="shared" si="0"/>
        <v>95010</v>
      </c>
    </row>
    <row r="22" spans="2:12" ht="15.75" customHeight="1" x14ac:dyDescent="0.2">
      <c r="B22" s="30" t="s">
        <v>331</v>
      </c>
      <c r="C22" s="198"/>
      <c r="D22" s="202" t="s">
        <v>347</v>
      </c>
      <c r="E22" s="200">
        <v>8000</v>
      </c>
      <c r="F22" s="198" t="str">
        <f t="array" ref="F22">IFERROR(INDEX(COA!$C$5:$C$59,MATCH(JURNAL!E22,COA!$B$5:$B$59,0)),"")</f>
        <v/>
      </c>
      <c r="G22" s="204"/>
      <c r="H22" s="204">
        <v>20000</v>
      </c>
      <c r="J22" s="7" t="str">
        <f t="shared" si="0"/>
        <v>18000</v>
      </c>
      <c r="L22" s="31"/>
    </row>
    <row r="23" spans="2:12" ht="15.75" customHeight="1" x14ac:dyDescent="0.2">
      <c r="B23" s="30" t="s">
        <v>331</v>
      </c>
      <c r="C23" s="198"/>
      <c r="D23" s="202" t="s">
        <v>348</v>
      </c>
      <c r="E23" s="200">
        <v>8000</v>
      </c>
      <c r="F23" s="198" t="str">
        <f t="array" ref="F23">IFERROR(INDEX(COA!$C$5:$C$59,MATCH(JURNAL!E23,COA!$B$5:$B$59,0)),"")</f>
        <v/>
      </c>
      <c r="G23" s="204"/>
      <c r="H23" s="204">
        <v>30000</v>
      </c>
      <c r="J23" s="7" t="str">
        <f t="shared" si="0"/>
        <v>28000</v>
      </c>
    </row>
    <row r="24" spans="2:12" ht="15.75" customHeight="1" x14ac:dyDescent="0.2">
      <c r="B24" s="30" t="s">
        <v>331</v>
      </c>
      <c r="C24" s="198"/>
      <c r="D24" s="202" t="s">
        <v>349</v>
      </c>
      <c r="E24" s="200">
        <v>5440</v>
      </c>
      <c r="F24" s="198" t="str">
        <f t="array" ref="F24">IFERROR(INDEX(COA!$C$5:$C$59,MATCH(JURNAL!E24,COA!$B$5:$B$59,0)),"")</f>
        <v>ADS</v>
      </c>
      <c r="G24" s="204"/>
      <c r="H24" s="204">
        <v>3000000</v>
      </c>
      <c r="J24" s="7" t="str">
        <f t="shared" si="0"/>
        <v>15440</v>
      </c>
    </row>
    <row r="25" spans="2:12" ht="15.75" customHeight="1" x14ac:dyDescent="0.2">
      <c r="B25" s="30" t="s">
        <v>331</v>
      </c>
      <c r="C25" s="198"/>
      <c r="D25" s="202" t="s">
        <v>350</v>
      </c>
      <c r="E25" s="200">
        <v>2120</v>
      </c>
      <c r="F25" s="198" t="str">
        <f t="array" ref="F25">IFERROR(INDEX(COA!$C$5:$C$59,MATCH(JURNAL!E25,COA!$B$5:$B$59,0)),"")</f>
        <v>Utang Gaji</v>
      </c>
      <c r="G25" s="204"/>
      <c r="H25" s="204">
        <v>94000000</v>
      </c>
      <c r="J25" s="7" t="str">
        <f t="shared" si="0"/>
        <v>12120</v>
      </c>
    </row>
    <row r="26" spans="2:12" ht="15.75" customHeight="1" x14ac:dyDescent="0.2">
      <c r="B26" s="30" t="s">
        <v>331</v>
      </c>
      <c r="C26" s="198"/>
      <c r="D26" s="202" t="s">
        <v>351</v>
      </c>
      <c r="E26" s="200"/>
      <c r="F26" s="198" t="str">
        <f t="array" ref="F26">IFERROR(INDEX(COA!$C$5:$C$59,MATCH(JURNAL!E26,COA!$B$5:$B$59,0)),"")</f>
        <v/>
      </c>
      <c r="G26" s="204"/>
      <c r="H26" s="204">
        <v>100000</v>
      </c>
      <c r="J26" s="7" t="str">
        <f t="shared" si="0"/>
        <v/>
      </c>
    </row>
    <row r="27" spans="2:12" ht="15.75" customHeight="1" x14ac:dyDescent="0.2">
      <c r="B27" s="30" t="s">
        <v>331</v>
      </c>
      <c r="C27" s="198"/>
      <c r="D27" s="202" t="s">
        <v>352</v>
      </c>
      <c r="E27" s="200"/>
      <c r="F27" s="198" t="str">
        <f t="array" ref="F27">IFERROR(INDEX(COA!$C$5:$C$59,MATCH(JURNAL!E27,COA!$B$5:$B$59,0)),"")</f>
        <v/>
      </c>
      <c r="G27" s="204"/>
      <c r="H27" s="204">
        <v>325</v>
      </c>
      <c r="J27" s="7" t="str">
        <f t="shared" si="0"/>
        <v/>
      </c>
    </row>
    <row r="28" spans="2:12" ht="15.75" customHeight="1" x14ac:dyDescent="0.2">
      <c r="B28" s="30" t="s">
        <v>332</v>
      </c>
      <c r="C28" s="24"/>
      <c r="D28" s="61" t="s">
        <v>291</v>
      </c>
      <c r="E28" s="24">
        <v>4110</v>
      </c>
      <c r="F28" s="198" t="str">
        <f t="array" ref="F28">IFERROR(INDEX(COA!$C$5:$C$59,MATCH(JURNAL!E28,COA!$B$5:$B$59,0)),"")</f>
        <v>Pendapatan jasa</v>
      </c>
      <c r="G28" s="204">
        <v>8122933</v>
      </c>
      <c r="H28" s="204"/>
      <c r="J28" s="7" t="str">
        <f t="shared" si="0"/>
        <v>24110</v>
      </c>
    </row>
    <row r="29" spans="2:12" ht="15.75" customHeight="1" x14ac:dyDescent="0.2">
      <c r="B29" s="30" t="s">
        <v>332</v>
      </c>
      <c r="C29" s="198"/>
      <c r="D29" s="202" t="s">
        <v>353</v>
      </c>
      <c r="E29" s="200">
        <v>6020</v>
      </c>
      <c r="F29" s="198" t="str">
        <f t="array" ref="F29">IFERROR(INDEX(COA!$C$5:$C$59,MATCH(JURNAL!E29,COA!$B$5:$B$59,0)),"")</f>
        <v/>
      </c>
      <c r="G29" s="204"/>
      <c r="H29" s="204">
        <v>250000</v>
      </c>
      <c r="J29" s="7" t="str">
        <f t="shared" si="0"/>
        <v>16020</v>
      </c>
    </row>
    <row r="30" spans="2:12" ht="15.75" customHeight="1" x14ac:dyDescent="0.2">
      <c r="B30" s="30" t="s">
        <v>332</v>
      </c>
      <c r="C30" s="198"/>
      <c r="D30" s="202" t="s">
        <v>354</v>
      </c>
      <c r="E30" s="200">
        <v>5310</v>
      </c>
      <c r="F30" s="198" t="str">
        <f t="array" ref="F30">IFERROR(INDEX(COA!$C$5:$C$59,MATCH(JURNAL!E30,COA!$B$5:$B$59,0)),"")</f>
        <v>Biaya ekspedisi &amp; ongkir</v>
      </c>
      <c r="G30" s="204"/>
      <c r="H30" s="204">
        <v>80360</v>
      </c>
      <c r="J30" s="7" t="str">
        <f t="shared" si="0"/>
        <v>25310</v>
      </c>
    </row>
    <row r="31" spans="2:12" ht="15.75" customHeight="1" x14ac:dyDescent="0.2">
      <c r="B31" s="30" t="s">
        <v>332</v>
      </c>
      <c r="C31" s="198"/>
      <c r="D31" s="202" t="s">
        <v>355</v>
      </c>
      <c r="E31" s="200">
        <v>5200</v>
      </c>
      <c r="F31" s="198" t="str">
        <f t="array" ref="F31">IFERROR(INDEX(COA!$C$5:$C$59,MATCH(JURNAL!E31,COA!$B$5:$B$59,0)),"")</f>
        <v xml:space="preserve">Konsumsi lembur &amp; Meeting </v>
      </c>
      <c r="G31" s="204"/>
      <c r="H31" s="204">
        <v>95000</v>
      </c>
      <c r="J31" s="7" t="str">
        <f t="shared" si="0"/>
        <v>15200</v>
      </c>
    </row>
    <row r="32" spans="2:12" ht="15.75" customHeight="1" x14ac:dyDescent="0.2">
      <c r="B32" s="30" t="s">
        <v>332</v>
      </c>
      <c r="C32" s="198"/>
      <c r="D32" s="202" t="s">
        <v>356</v>
      </c>
      <c r="E32" s="200">
        <v>5310</v>
      </c>
      <c r="F32" s="198" t="str">
        <f t="array" ref="F32">IFERROR(INDEX(COA!$C$5:$C$59,MATCH(JURNAL!E32,COA!$B$5:$B$59,0)),"")</f>
        <v>Biaya ekspedisi &amp; ongkir</v>
      </c>
      <c r="G32" s="204"/>
      <c r="H32" s="204">
        <v>73000</v>
      </c>
      <c r="J32" s="7" t="str">
        <f t="shared" si="0"/>
        <v>35310</v>
      </c>
    </row>
    <row r="33" spans="2:10" ht="15.75" customHeight="1" x14ac:dyDescent="0.2">
      <c r="B33" s="30" t="s">
        <v>332</v>
      </c>
      <c r="C33" s="198"/>
      <c r="D33" s="202" t="s">
        <v>357</v>
      </c>
      <c r="E33" s="200">
        <v>6030</v>
      </c>
      <c r="F33" s="198" t="str">
        <f t="array" ref="F33">IFERROR(INDEX(COA!$C$5:$C$59,MATCH(JURNAL!E33,COA!$B$5:$B$59,0)),"")</f>
        <v/>
      </c>
      <c r="G33" s="204"/>
      <c r="H33" s="204">
        <v>187000</v>
      </c>
      <c r="J33" s="7" t="str">
        <f t="shared" si="0"/>
        <v>16030</v>
      </c>
    </row>
    <row r="34" spans="2:10" ht="15.75" customHeight="1" x14ac:dyDescent="0.2">
      <c r="B34" s="30" t="s">
        <v>332</v>
      </c>
      <c r="C34" s="198"/>
      <c r="D34" s="202" t="s">
        <v>358</v>
      </c>
      <c r="E34" s="200">
        <v>8010</v>
      </c>
      <c r="F34" s="198" t="str">
        <f t="array" ref="F34">IFERROR(INDEX(COA!$C$5:$C$59,MATCH(JURNAL!E34,COA!$B$5:$B$59,0)),"")</f>
        <v/>
      </c>
      <c r="G34" s="204"/>
      <c r="H34" s="204">
        <v>507960</v>
      </c>
      <c r="J34" s="7" t="str">
        <f t="shared" si="0"/>
        <v>18010</v>
      </c>
    </row>
    <row r="35" spans="2:10" ht="15.75" customHeight="1" x14ac:dyDescent="0.2">
      <c r="B35" s="30" t="s">
        <v>332</v>
      </c>
      <c r="C35" s="198"/>
      <c r="D35" s="202" t="s">
        <v>335</v>
      </c>
      <c r="E35" s="200">
        <v>5010</v>
      </c>
      <c r="F35" s="198" t="str">
        <f t="array" ref="F35">IFERROR(INDEX(COA!$C$5:$C$59,MATCH(JURNAL!E35,COA!$B$5:$B$59,0)),"")</f>
        <v>Hpp sole</v>
      </c>
      <c r="G35" s="204"/>
      <c r="H35" s="204">
        <v>20500</v>
      </c>
      <c r="J35" s="7" t="str">
        <f t="shared" si="0"/>
        <v>105010</v>
      </c>
    </row>
    <row r="36" spans="2:10" ht="15.75" customHeight="1" x14ac:dyDescent="0.2">
      <c r="B36" s="30" t="s">
        <v>332</v>
      </c>
      <c r="C36" s="198"/>
      <c r="D36" s="202" t="s">
        <v>337</v>
      </c>
      <c r="E36" s="200">
        <v>5010</v>
      </c>
      <c r="F36" s="198" t="str">
        <f t="array" ref="F36">IFERROR(INDEX(COA!$C$5:$C$59,MATCH(JURNAL!E36,COA!$B$5:$B$59,0)),"")</f>
        <v>Hpp sole</v>
      </c>
      <c r="G36" s="204"/>
      <c r="H36" s="204">
        <v>56000</v>
      </c>
      <c r="J36" s="7" t="str">
        <f t="shared" si="0"/>
        <v>115010</v>
      </c>
    </row>
    <row r="37" spans="2:10" ht="15.75" customHeight="1" x14ac:dyDescent="0.2">
      <c r="B37" s="30" t="s">
        <v>332</v>
      </c>
      <c r="C37" s="198"/>
      <c r="D37" s="202" t="s">
        <v>336</v>
      </c>
      <c r="E37" s="200">
        <v>5010</v>
      </c>
      <c r="F37" s="198" t="str">
        <f t="array" ref="F37">IFERROR(INDEX(COA!$C$5:$C$59,MATCH(JURNAL!E37,COA!$B$5:$B$59,0)),"")</f>
        <v>Hpp sole</v>
      </c>
      <c r="G37" s="204"/>
      <c r="H37" s="204">
        <v>81000</v>
      </c>
      <c r="J37" s="7" t="str">
        <f t="shared" si="0"/>
        <v>125010</v>
      </c>
    </row>
    <row r="38" spans="2:10" ht="15.75" customHeight="1" x14ac:dyDescent="0.2">
      <c r="B38" s="30" t="s">
        <v>332</v>
      </c>
      <c r="C38" s="198"/>
      <c r="D38" s="202" t="s">
        <v>359</v>
      </c>
      <c r="E38" s="200">
        <v>5030</v>
      </c>
      <c r="F38" s="198" t="str">
        <f t="array" ref="F38">IFERROR(INDEX(COA!$C$5:$C$59,MATCH(JURNAL!E38,COA!$B$5:$B$59,0)),"")</f>
        <v>Hpp reguler</v>
      </c>
      <c r="G38" s="204"/>
      <c r="H38" s="204">
        <v>930000</v>
      </c>
      <c r="J38" s="7" t="str">
        <f t="shared" si="0"/>
        <v>15030</v>
      </c>
    </row>
    <row r="39" spans="2:10" ht="15.75" customHeight="1" x14ac:dyDescent="0.2">
      <c r="B39" s="30" t="s">
        <v>332</v>
      </c>
      <c r="C39" s="198"/>
      <c r="D39" s="202" t="s">
        <v>360</v>
      </c>
      <c r="E39" s="200">
        <v>5030</v>
      </c>
      <c r="F39" s="198" t="str">
        <f t="array" ref="F39">IFERROR(INDEX(COA!$C$5:$C$59,MATCH(JURNAL!E39,COA!$B$5:$B$59,0)),"")</f>
        <v>Hpp reguler</v>
      </c>
      <c r="G39" s="204"/>
      <c r="H39" s="204">
        <v>524000</v>
      </c>
      <c r="J39" s="7" t="str">
        <f t="shared" si="0"/>
        <v>25030</v>
      </c>
    </row>
    <row r="40" spans="2:10" ht="15.75" customHeight="1" x14ac:dyDescent="0.2">
      <c r="B40" s="30" t="s">
        <v>332</v>
      </c>
      <c r="C40" s="198"/>
      <c r="D40" s="202" t="s">
        <v>361</v>
      </c>
      <c r="E40" s="200">
        <v>5030</v>
      </c>
      <c r="F40" s="198" t="str">
        <f t="array" ref="F40">IFERROR(INDEX(COA!$C$5:$C$59,MATCH(JURNAL!E40,COA!$B$5:$B$59,0)),"")</f>
        <v>Hpp reguler</v>
      </c>
      <c r="G40" s="204"/>
      <c r="H40" s="204">
        <v>61000</v>
      </c>
      <c r="J40" s="7" t="str">
        <f t="shared" si="0"/>
        <v>35030</v>
      </c>
    </row>
    <row r="41" spans="2:10" ht="15.75" customHeight="1" x14ac:dyDescent="0.2">
      <c r="B41" s="30" t="s">
        <v>332</v>
      </c>
      <c r="C41" s="198"/>
      <c r="D41" s="202" t="s">
        <v>362</v>
      </c>
      <c r="E41" s="200">
        <v>5030</v>
      </c>
      <c r="F41" s="198" t="str">
        <f t="array" ref="F41">IFERROR(INDEX(COA!$C$5:$C$59,MATCH(JURNAL!E41,COA!$B$5:$B$59,0)),"")</f>
        <v>Hpp reguler</v>
      </c>
      <c r="G41" s="204"/>
      <c r="H41" s="204">
        <v>235179</v>
      </c>
      <c r="J41" s="7" t="str">
        <f t="shared" si="0"/>
        <v>45030</v>
      </c>
    </row>
    <row r="42" spans="2:10" ht="15.75" customHeight="1" x14ac:dyDescent="0.2">
      <c r="B42" s="30" t="s">
        <v>332</v>
      </c>
      <c r="C42" s="198"/>
      <c r="D42" s="202" t="s">
        <v>363</v>
      </c>
      <c r="E42" s="200">
        <v>5030</v>
      </c>
      <c r="F42" s="198" t="str">
        <f t="array" ref="F42">IFERROR(INDEX(COA!$C$5:$C$59,MATCH(JURNAL!E42,COA!$B$5:$B$59,0)),"")</f>
        <v>Hpp reguler</v>
      </c>
      <c r="G42" s="204"/>
      <c r="H42" s="204">
        <v>571000</v>
      </c>
      <c r="J42" s="7" t="str">
        <f t="shared" si="0"/>
        <v>55030</v>
      </c>
    </row>
    <row r="43" spans="2:10" ht="15.75" customHeight="1" x14ac:dyDescent="0.2">
      <c r="B43" s="30" t="s">
        <v>332</v>
      </c>
      <c r="C43" s="198"/>
      <c r="D43" s="202" t="s">
        <v>364</v>
      </c>
      <c r="E43" s="200">
        <v>5030</v>
      </c>
      <c r="F43" s="198" t="str">
        <f t="array" ref="F43">IFERROR(INDEX(COA!$C$5:$C$59,MATCH(JURNAL!E43,COA!$B$5:$B$59,0)),"")</f>
        <v>Hpp reguler</v>
      </c>
      <c r="G43" s="204"/>
      <c r="H43" s="204">
        <v>279000</v>
      </c>
      <c r="J43" s="7" t="str">
        <f t="shared" si="0"/>
        <v>65030</v>
      </c>
    </row>
    <row r="44" spans="2:10" ht="15.75" customHeight="1" x14ac:dyDescent="0.2">
      <c r="B44" s="30" t="s">
        <v>332</v>
      </c>
      <c r="C44" s="198"/>
      <c r="D44" s="202" t="s">
        <v>365</v>
      </c>
      <c r="E44" s="200">
        <v>5030</v>
      </c>
      <c r="F44" s="198" t="str">
        <f t="array" ref="F44">IFERROR(INDEX(COA!$C$5:$C$59,MATCH(JURNAL!E44,COA!$B$5:$B$59,0)),"")</f>
        <v>Hpp reguler</v>
      </c>
      <c r="G44" s="204"/>
      <c r="H44" s="204">
        <v>22500</v>
      </c>
      <c r="J44" s="7" t="str">
        <f t="shared" si="0"/>
        <v>75030</v>
      </c>
    </row>
    <row r="45" spans="2:10" ht="15.75" customHeight="1" x14ac:dyDescent="0.2">
      <c r="B45" s="30" t="s">
        <v>332</v>
      </c>
      <c r="C45" s="198"/>
      <c r="D45" s="202" t="s">
        <v>366</v>
      </c>
      <c r="E45" s="200">
        <v>5630</v>
      </c>
      <c r="F45" s="198" t="str">
        <f t="array" ref="F45">IFERROR(INDEX(COA!$C$5:$C$59,MATCH(JURNAL!E45,COA!$B$5:$B$59,0)),"")</f>
        <v/>
      </c>
      <c r="G45" s="204"/>
      <c r="H45" s="204">
        <v>2750000</v>
      </c>
      <c r="J45" s="7" t="str">
        <f t="shared" si="0"/>
        <v>15630</v>
      </c>
    </row>
    <row r="46" spans="2:10" ht="15.75" customHeight="1" x14ac:dyDescent="0.2">
      <c r="B46" s="30" t="s">
        <v>333</v>
      </c>
      <c r="C46" s="24"/>
      <c r="D46" s="61" t="s">
        <v>291</v>
      </c>
      <c r="E46" s="24">
        <v>4110</v>
      </c>
      <c r="F46" s="198" t="str">
        <f t="array" ref="F46">IFERROR(INDEX(COA!$C$5:$C$59,MATCH(JURNAL!E46,COA!$B$5:$B$59,0)),"")</f>
        <v>Pendapatan jasa</v>
      </c>
      <c r="G46" s="204">
        <v>11207711</v>
      </c>
      <c r="H46" s="204"/>
      <c r="J46" s="7" t="str">
        <f t="shared" si="0"/>
        <v>34110</v>
      </c>
    </row>
    <row r="47" spans="2:10" ht="15.75" customHeight="1" x14ac:dyDescent="0.2">
      <c r="B47" s="30" t="s">
        <v>333</v>
      </c>
      <c r="C47" s="198"/>
      <c r="D47" s="202" t="s">
        <v>367</v>
      </c>
      <c r="E47" s="200">
        <v>5070</v>
      </c>
      <c r="F47" s="198"/>
      <c r="G47" s="204"/>
      <c r="H47" s="204">
        <v>25000</v>
      </c>
      <c r="J47" s="7" t="str">
        <f t="shared" si="0"/>
        <v>15070</v>
      </c>
    </row>
    <row r="48" spans="2:10" ht="15.75" customHeight="1" x14ac:dyDescent="0.2">
      <c r="B48" s="30" t="s">
        <v>333</v>
      </c>
      <c r="C48" s="198"/>
      <c r="D48" s="202" t="s">
        <v>345</v>
      </c>
      <c r="E48" s="200">
        <v>6000</v>
      </c>
      <c r="F48" s="198" t="str">
        <f t="array" ref="F48">IFERROR(INDEX(COA!$C$5:$C$59,MATCH(JURNAL!E48,COA!$B$5:$B$59,0)),"")</f>
        <v/>
      </c>
      <c r="G48" s="204"/>
      <c r="H48" s="204">
        <v>20000</v>
      </c>
      <c r="J48" s="7" t="str">
        <f t="shared" si="0"/>
        <v>26000</v>
      </c>
    </row>
    <row r="49" spans="2:10" ht="15.75" customHeight="1" x14ac:dyDescent="0.2">
      <c r="B49" s="30" t="s">
        <v>333</v>
      </c>
      <c r="C49" s="198"/>
      <c r="D49" s="202" t="s">
        <v>368</v>
      </c>
      <c r="E49" s="200">
        <v>5030</v>
      </c>
      <c r="F49" s="198" t="str">
        <f t="array" ref="F49">IFERROR(INDEX(COA!$C$5:$C$59,MATCH(JURNAL!E49,COA!$B$5:$B$59,0)),"")</f>
        <v>Hpp reguler</v>
      </c>
      <c r="G49" s="204"/>
      <c r="H49" s="204">
        <v>6912</v>
      </c>
      <c r="J49" s="7" t="str">
        <f t="shared" si="0"/>
        <v>85030</v>
      </c>
    </row>
    <row r="50" spans="2:10" ht="15.75" customHeight="1" x14ac:dyDescent="0.2">
      <c r="B50" s="30" t="s">
        <v>333</v>
      </c>
      <c r="C50" s="198"/>
      <c r="D50" s="202" t="s">
        <v>369</v>
      </c>
      <c r="E50" s="200">
        <v>5030</v>
      </c>
      <c r="F50" s="198" t="str">
        <f t="array" ref="F50">IFERROR(INDEX(COA!$C$5:$C$59,MATCH(JURNAL!E50,COA!$B$5:$B$59,0)),"")</f>
        <v>Hpp reguler</v>
      </c>
      <c r="G50" s="204"/>
      <c r="H50" s="204">
        <v>28270</v>
      </c>
      <c r="J50" s="7" t="str">
        <f t="shared" si="0"/>
        <v>95030</v>
      </c>
    </row>
    <row r="51" spans="2:10" ht="15.75" customHeight="1" x14ac:dyDescent="0.2">
      <c r="B51" s="30" t="s">
        <v>333</v>
      </c>
      <c r="C51" s="198"/>
      <c r="D51" s="202" t="s">
        <v>370</v>
      </c>
      <c r="E51" s="200">
        <v>5030</v>
      </c>
      <c r="F51" s="198" t="str">
        <f t="array" ref="F51">IFERROR(INDEX(COA!$C$5:$C$59,MATCH(JURNAL!E51,COA!$B$5:$B$59,0)),"")</f>
        <v>Hpp reguler</v>
      </c>
      <c r="G51" s="204"/>
      <c r="H51" s="204">
        <v>43570</v>
      </c>
      <c r="J51" s="7" t="str">
        <f t="shared" si="0"/>
        <v>105030</v>
      </c>
    </row>
    <row r="52" spans="2:10" ht="15.75" customHeight="1" x14ac:dyDescent="0.2">
      <c r="B52" s="30" t="s">
        <v>333</v>
      </c>
      <c r="C52" s="198"/>
      <c r="D52" s="202" t="s">
        <v>371</v>
      </c>
      <c r="E52" s="200">
        <v>5030</v>
      </c>
      <c r="F52" s="198" t="str">
        <f t="array" ref="F52">IFERROR(INDEX(COA!$C$5:$C$59,MATCH(JURNAL!E52,COA!$B$5:$B$59,0)),"")</f>
        <v>Hpp reguler</v>
      </c>
      <c r="G52" s="204"/>
      <c r="H52" s="204">
        <v>29182</v>
      </c>
      <c r="J52" s="7" t="str">
        <f t="shared" si="0"/>
        <v>115030</v>
      </c>
    </row>
    <row r="53" spans="2:10" ht="15.75" customHeight="1" x14ac:dyDescent="0.2">
      <c r="B53" s="30" t="s">
        <v>333</v>
      </c>
      <c r="C53" s="198"/>
      <c r="D53" s="202" t="s">
        <v>372</v>
      </c>
      <c r="E53" s="200">
        <v>5030</v>
      </c>
      <c r="F53" s="198" t="str">
        <f t="array" ref="F53">IFERROR(INDEX(COA!$C$5:$C$59,MATCH(JURNAL!E53,COA!$B$5:$B$59,0)),"")</f>
        <v>Hpp reguler</v>
      </c>
      <c r="G53" s="204"/>
      <c r="H53" s="204">
        <v>44686</v>
      </c>
      <c r="J53" s="7" t="str">
        <f t="shared" si="0"/>
        <v>125030</v>
      </c>
    </row>
    <row r="54" spans="2:10" ht="15.75" customHeight="1" x14ac:dyDescent="0.2">
      <c r="B54" s="30" t="s">
        <v>333</v>
      </c>
      <c r="C54" s="198"/>
      <c r="D54" s="202" t="s">
        <v>373</v>
      </c>
      <c r="E54" s="200">
        <v>5108</v>
      </c>
      <c r="F54" s="198" t="str">
        <f t="array" ref="F54">IFERROR(INDEX(COA!$C$5:$C$59,MATCH(JURNAL!E54,COA!$B$5:$B$59,0)),"")</f>
        <v>Beban gaji tukang</v>
      </c>
      <c r="G54" s="204"/>
      <c r="H54" s="204">
        <v>100000</v>
      </c>
      <c r="J54" s="7" t="str">
        <f t="shared" si="0"/>
        <v>15108</v>
      </c>
    </row>
    <row r="55" spans="2:10" ht="15.75" customHeight="1" x14ac:dyDescent="0.2">
      <c r="B55" s="30" t="s">
        <v>333</v>
      </c>
      <c r="C55" s="198"/>
      <c r="D55" s="202" t="s">
        <v>374</v>
      </c>
      <c r="E55" s="200">
        <v>5108</v>
      </c>
      <c r="F55" s="198" t="str">
        <f t="array" ref="F55">IFERROR(INDEX(COA!$C$5:$C$59,MATCH(JURNAL!E55,COA!$B$5:$B$59,0)),"")</f>
        <v>Beban gaji tukang</v>
      </c>
      <c r="G55" s="204"/>
      <c r="H55" s="204">
        <v>100000</v>
      </c>
      <c r="J55" s="7" t="str">
        <f t="shared" si="0"/>
        <v>25108</v>
      </c>
    </row>
    <row r="56" spans="2:10" ht="15.75" customHeight="1" x14ac:dyDescent="0.2">
      <c r="B56" s="30" t="s">
        <v>333</v>
      </c>
      <c r="C56" s="198"/>
      <c r="D56" s="202" t="s">
        <v>375</v>
      </c>
      <c r="E56" s="200">
        <v>5108</v>
      </c>
      <c r="F56" s="198" t="str">
        <f t="array" ref="F56">IFERROR(INDEX(COA!$C$5:$C$59,MATCH(JURNAL!E56,COA!$B$5:$B$59,0)),"")</f>
        <v>Beban gaji tukang</v>
      </c>
      <c r="G56" s="204"/>
      <c r="H56" s="204">
        <v>100000</v>
      </c>
      <c r="J56" s="7" t="str">
        <f t="shared" si="0"/>
        <v>35108</v>
      </c>
    </row>
    <row r="57" spans="2:10" ht="15.75" customHeight="1" x14ac:dyDescent="0.2">
      <c r="B57" s="30" t="s">
        <v>333</v>
      </c>
      <c r="C57" s="198"/>
      <c r="D57" s="202" t="s">
        <v>376</v>
      </c>
      <c r="E57" s="200">
        <v>5108</v>
      </c>
      <c r="F57" s="198" t="str">
        <f t="array" ref="F57">IFERROR(INDEX(COA!$C$5:$C$59,MATCH(JURNAL!E57,COA!$B$5:$B$59,0)),"")</f>
        <v>Beban gaji tukang</v>
      </c>
      <c r="G57" s="204"/>
      <c r="H57" s="204">
        <v>100000</v>
      </c>
      <c r="J57" s="7" t="str">
        <f t="shared" si="0"/>
        <v>45108</v>
      </c>
    </row>
    <row r="58" spans="2:10" ht="15.75" customHeight="1" x14ac:dyDescent="0.2">
      <c r="B58" s="30" t="s">
        <v>333</v>
      </c>
      <c r="C58" s="198"/>
      <c r="D58" s="202" t="s">
        <v>377</v>
      </c>
      <c r="E58" s="200">
        <v>5108</v>
      </c>
      <c r="F58" s="198" t="str">
        <f t="array" ref="F58">IFERROR(INDEX(COA!$C$5:$C$59,MATCH(JURNAL!E58,COA!$B$5:$B$59,0)),"")</f>
        <v>Beban gaji tukang</v>
      </c>
      <c r="G58" s="204"/>
      <c r="H58" s="204">
        <v>100000</v>
      </c>
      <c r="J58" s="7" t="str">
        <f t="shared" si="0"/>
        <v>55108</v>
      </c>
    </row>
    <row r="59" spans="2:10" ht="15.75" customHeight="1" x14ac:dyDescent="0.2">
      <c r="B59" s="30" t="s">
        <v>333</v>
      </c>
      <c r="C59" s="198"/>
      <c r="D59" s="202" t="s">
        <v>378</v>
      </c>
      <c r="E59" s="200">
        <v>5108</v>
      </c>
      <c r="F59" s="198" t="str">
        <f t="array" ref="F59">IFERROR(INDEX(COA!$C$5:$C$59,MATCH(JURNAL!E59,COA!$B$5:$B$59,0)),"")</f>
        <v>Beban gaji tukang</v>
      </c>
      <c r="G59" s="204"/>
      <c r="H59" s="204">
        <v>100000</v>
      </c>
      <c r="J59" s="7" t="str">
        <f t="shared" si="0"/>
        <v>65108</v>
      </c>
    </row>
    <row r="60" spans="2:10" ht="15.75" customHeight="1" x14ac:dyDescent="0.2">
      <c r="B60" s="30" t="s">
        <v>333</v>
      </c>
      <c r="C60" s="198"/>
      <c r="D60" s="202" t="s">
        <v>349</v>
      </c>
      <c r="E60" s="200">
        <v>5440</v>
      </c>
      <c r="F60" s="198" t="str">
        <f t="array" ref="F60">IFERROR(INDEX(COA!$C$5:$C$59,MATCH(JURNAL!E60,COA!$B$5:$B$59,0)),"")</f>
        <v>ADS</v>
      </c>
      <c r="G60" s="204"/>
      <c r="H60" s="204">
        <v>3000000</v>
      </c>
      <c r="J60" s="7" t="str">
        <f t="shared" si="0"/>
        <v>25440</v>
      </c>
    </row>
    <row r="61" spans="2:10" ht="15.75" customHeight="1" x14ac:dyDescent="0.2">
      <c r="B61" s="30" t="s">
        <v>333</v>
      </c>
      <c r="C61" s="198"/>
      <c r="D61" s="202" t="s">
        <v>379</v>
      </c>
      <c r="E61" s="200">
        <v>5450</v>
      </c>
      <c r="F61" s="198" t="str">
        <f t="array" ref="F61">IFERROR(INDEX(COA!$C$5:$C$59,MATCH(JURNAL!E61,COA!$B$5:$B$59,0)),"")</f>
        <v>WA API</v>
      </c>
      <c r="G61" s="204"/>
      <c r="H61" s="204">
        <v>867375</v>
      </c>
      <c r="J61" s="7" t="str">
        <f t="shared" si="0"/>
        <v>15450</v>
      </c>
    </row>
    <row r="62" spans="2:10" ht="15.75" customHeight="1" x14ac:dyDescent="0.2">
      <c r="B62" s="30" t="s">
        <v>333</v>
      </c>
      <c r="C62" s="198"/>
      <c r="D62" s="202" t="s">
        <v>351</v>
      </c>
      <c r="E62" s="200"/>
      <c r="F62" s="198" t="str">
        <f t="array" ref="F62">IFERROR(INDEX(COA!$C$5:$C$59,MATCH(JURNAL!E62,COA!$B$5:$B$59,0)),"")</f>
        <v/>
      </c>
      <c r="G62" s="204"/>
      <c r="H62" s="204">
        <v>100000</v>
      </c>
      <c r="J62" s="7" t="str">
        <f t="shared" si="0"/>
        <v/>
      </c>
    </row>
    <row r="63" spans="2:10" ht="15.75" customHeight="1" x14ac:dyDescent="0.2">
      <c r="B63" s="30" t="s">
        <v>333</v>
      </c>
      <c r="C63" s="198"/>
      <c r="D63" s="202" t="s">
        <v>380</v>
      </c>
      <c r="E63" s="200">
        <v>5200</v>
      </c>
      <c r="F63" s="198" t="str">
        <f t="array" ref="F63">IFERROR(INDEX(COA!$C$5:$C$59,MATCH(JURNAL!E63,COA!$B$5:$B$59,0)),"")</f>
        <v xml:space="preserve">Konsumsi lembur &amp; Meeting </v>
      </c>
      <c r="G63" s="204"/>
      <c r="H63" s="204">
        <v>75000</v>
      </c>
      <c r="J63" s="7" t="str">
        <f t="shared" si="0"/>
        <v>25200</v>
      </c>
    </row>
    <row r="64" spans="2:10" ht="15.75" customHeight="1" x14ac:dyDescent="0.2">
      <c r="B64" s="30" t="s">
        <v>381</v>
      </c>
      <c r="C64" s="24"/>
      <c r="D64" s="61" t="s">
        <v>291</v>
      </c>
      <c r="E64" s="24">
        <v>4110</v>
      </c>
      <c r="F64" s="198" t="str">
        <f t="array" ref="F64">IFERROR(INDEX(COA!$C$5:$C$59,MATCH(JURNAL!E64,COA!$B$5:$B$59,0)),"")</f>
        <v>Pendapatan jasa</v>
      </c>
      <c r="G64" s="204">
        <v>13057661</v>
      </c>
      <c r="H64" s="204"/>
      <c r="J64" s="7" t="str">
        <f t="shared" si="0"/>
        <v>44110</v>
      </c>
    </row>
    <row r="65" spans="2:10" ht="15.75" customHeight="1" x14ac:dyDescent="0.2">
      <c r="B65" s="30" t="s">
        <v>381</v>
      </c>
      <c r="C65" s="198"/>
      <c r="D65" s="202" t="s">
        <v>349</v>
      </c>
      <c r="E65" s="200">
        <v>5440</v>
      </c>
      <c r="F65" s="198" t="str">
        <f t="array" ref="F65">IFERROR(INDEX(COA!$C$5:$C$59,MATCH(JURNAL!E65,COA!$B$5:$B$59,0)),"")</f>
        <v>ADS</v>
      </c>
      <c r="G65" s="204"/>
      <c r="H65" s="204">
        <v>3000000</v>
      </c>
      <c r="J65" s="7" t="str">
        <f t="shared" si="0"/>
        <v>35440</v>
      </c>
    </row>
    <row r="66" spans="2:10" ht="15.75" customHeight="1" x14ac:dyDescent="0.2">
      <c r="B66" s="30" t="s">
        <v>381</v>
      </c>
      <c r="C66" s="198"/>
      <c r="D66" s="202" t="s">
        <v>382</v>
      </c>
      <c r="E66" s="200">
        <v>2120</v>
      </c>
      <c r="F66" s="198" t="str">
        <f t="array" ref="F66">IFERROR(INDEX(COA!$C$5:$C$59,MATCH(JURNAL!E66,COA!$B$5:$B$59,0)),"")</f>
        <v>Utang Gaji</v>
      </c>
      <c r="G66" s="204"/>
      <c r="H66" s="204">
        <v>6000000</v>
      </c>
      <c r="J66" s="7" t="str">
        <f t="shared" si="0"/>
        <v>22120</v>
      </c>
    </row>
    <row r="67" spans="2:10" ht="15.75" customHeight="1" x14ac:dyDescent="0.2">
      <c r="B67" s="30" t="s">
        <v>381</v>
      </c>
      <c r="C67" s="198"/>
      <c r="D67" s="202" t="s">
        <v>351</v>
      </c>
      <c r="E67" s="200"/>
      <c r="F67" s="198" t="str">
        <f t="array" ref="F67">IFERROR(INDEX(COA!$C$5:$C$59,MATCH(JURNAL!E67,COA!$B$5:$B$59,0)),"")</f>
        <v/>
      </c>
      <c r="G67" s="204"/>
      <c r="H67" s="204">
        <v>201000</v>
      </c>
      <c r="J67" s="7" t="str">
        <f t="shared" si="0"/>
        <v/>
      </c>
    </row>
    <row r="68" spans="2:10" ht="15.75" customHeight="1" x14ac:dyDescent="0.2">
      <c r="B68" s="30" t="s">
        <v>381</v>
      </c>
      <c r="C68" s="198"/>
      <c r="D68" s="202" t="s">
        <v>383</v>
      </c>
      <c r="E68" s="200"/>
      <c r="F68" s="198" t="str">
        <f t="array" ref="F68">IFERROR(INDEX(COA!$C$5:$C$59,MATCH(JURNAL!E68,COA!$B$5:$B$59,0)),"")</f>
        <v/>
      </c>
      <c r="G68" s="204"/>
      <c r="H68" s="204">
        <v>20000</v>
      </c>
      <c r="J68" s="7" t="str">
        <f t="shared" si="0"/>
        <v/>
      </c>
    </row>
    <row r="69" spans="2:10" ht="15.75" customHeight="1" x14ac:dyDescent="0.2">
      <c r="B69" s="30" t="s">
        <v>381</v>
      </c>
      <c r="C69" s="198"/>
      <c r="D69" s="202" t="s">
        <v>384</v>
      </c>
      <c r="E69" s="200">
        <v>1201</v>
      </c>
      <c r="F69" s="198" t="str">
        <f t="array" ref="F69">IFERROR(INDEX(COA!$C$5:$C$59,MATCH(JURNAL!E69,COA!$B$5:$B$59,0)),"")</f>
        <v>Peralatan</v>
      </c>
      <c r="G69" s="204"/>
      <c r="H69" s="204">
        <v>515685</v>
      </c>
      <c r="J69" s="7" t="str">
        <f t="shared" si="0"/>
        <v>11201</v>
      </c>
    </row>
    <row r="70" spans="2:10" ht="15.75" customHeight="1" x14ac:dyDescent="0.2">
      <c r="B70" s="30" t="s">
        <v>381</v>
      </c>
      <c r="C70" s="198"/>
      <c r="D70" s="202" t="s">
        <v>385</v>
      </c>
      <c r="E70" s="200">
        <v>5300</v>
      </c>
      <c r="F70" s="198" t="str">
        <f t="array" ref="F70">IFERROR(INDEX(COA!$C$5:$C$59,MATCH(JURNAL!E70,COA!$B$5:$B$59,0)),"")</f>
        <v>Biaya packaging</v>
      </c>
      <c r="G70" s="204"/>
      <c r="H70" s="204">
        <v>582500</v>
      </c>
      <c r="J70" s="7" t="str">
        <f t="shared" si="0"/>
        <v>15300</v>
      </c>
    </row>
    <row r="71" spans="2:10" ht="15.75" customHeight="1" x14ac:dyDescent="0.2">
      <c r="B71" s="30" t="s">
        <v>381</v>
      </c>
      <c r="C71" s="198"/>
      <c r="D71" s="202" t="s">
        <v>386</v>
      </c>
      <c r="E71" s="200">
        <v>5310</v>
      </c>
      <c r="F71" s="198" t="str">
        <f t="array" ref="F71">IFERROR(INDEX(COA!$C$5:$C$59,MATCH(JURNAL!E71,COA!$B$5:$B$59,0)),"")</f>
        <v>Biaya ekspedisi &amp; ongkir</v>
      </c>
      <c r="G71" s="204"/>
      <c r="H71" s="204">
        <v>75374</v>
      </c>
      <c r="J71" s="7" t="str">
        <f t="shared" si="0"/>
        <v>45310</v>
      </c>
    </row>
    <row r="72" spans="2:10" ht="15.75" customHeight="1" x14ac:dyDescent="0.2">
      <c r="B72" s="30" t="s">
        <v>381</v>
      </c>
      <c r="C72" s="198"/>
      <c r="D72" s="202" t="s">
        <v>387</v>
      </c>
      <c r="E72" s="200"/>
      <c r="F72" s="198" t="str">
        <f t="array" ref="F72">IFERROR(INDEX(COA!$C$5:$C$59,MATCH(JURNAL!E72,COA!$B$5:$B$59,0)),"")</f>
        <v/>
      </c>
      <c r="G72" s="204"/>
      <c r="H72" s="204">
        <v>11000</v>
      </c>
      <c r="J72" s="7" t="str">
        <f t="shared" si="0"/>
        <v/>
      </c>
    </row>
    <row r="73" spans="2:10" ht="15.75" customHeight="1" x14ac:dyDescent="0.2">
      <c r="B73" s="30" t="s">
        <v>381</v>
      </c>
      <c r="C73" s="198"/>
      <c r="D73" s="202" t="s">
        <v>337</v>
      </c>
      <c r="E73" s="200">
        <v>5010</v>
      </c>
      <c r="F73" s="198" t="str">
        <f t="array" ref="F73">IFERROR(INDEX(COA!$C$5:$C$59,MATCH(JURNAL!E73,COA!$B$5:$B$59,0)),"")</f>
        <v>Hpp sole</v>
      </c>
      <c r="G73" s="204"/>
      <c r="H73" s="204">
        <v>182000</v>
      </c>
      <c r="J73" s="7" t="str">
        <f t="shared" si="0"/>
        <v>135010</v>
      </c>
    </row>
    <row r="74" spans="2:10" ht="15.75" customHeight="1" x14ac:dyDescent="0.2">
      <c r="B74" s="30" t="s">
        <v>381</v>
      </c>
      <c r="C74" s="198"/>
      <c r="D74" s="202" t="s">
        <v>388</v>
      </c>
      <c r="E74" s="200">
        <v>5020</v>
      </c>
      <c r="F74" s="198" t="str">
        <f t="array" ref="F74">IFERROR(INDEX(COA!$C$5:$C$59,MATCH(JURNAL!E74,COA!$B$5:$B$59,0)),"")</f>
        <v>Hpp upper</v>
      </c>
      <c r="G74" s="204"/>
      <c r="H74" s="204">
        <v>53000</v>
      </c>
      <c r="J74" s="7" t="str">
        <f t="shared" si="0"/>
        <v>15020</v>
      </c>
    </row>
    <row r="75" spans="2:10" ht="15.75" customHeight="1" x14ac:dyDescent="0.2">
      <c r="B75" s="30" t="s">
        <v>389</v>
      </c>
      <c r="C75" s="24"/>
      <c r="D75" s="201" t="s">
        <v>291</v>
      </c>
      <c r="E75" s="24">
        <v>4110</v>
      </c>
      <c r="F75" s="198" t="str">
        <f t="array" ref="F75">IFERROR(INDEX(COA!$C$5:$C$59,MATCH(JURNAL!E75,COA!$B$5:$B$59,0)),"")</f>
        <v>Pendapatan jasa</v>
      </c>
      <c r="G75" s="204">
        <v>12673344</v>
      </c>
      <c r="H75" s="204"/>
      <c r="J75" s="7" t="str">
        <f t="shared" si="0"/>
        <v>54110</v>
      </c>
    </row>
    <row r="76" spans="2:10" ht="15.75" customHeight="1" x14ac:dyDescent="0.2">
      <c r="B76" s="30" t="s">
        <v>389</v>
      </c>
      <c r="C76" s="24"/>
      <c r="D76" s="205" t="s">
        <v>390</v>
      </c>
      <c r="E76" s="24"/>
      <c r="F76" s="198" t="str">
        <f t="array" ref="F76">IFERROR(INDEX(COA!$C$5:$C$59,MATCH(JURNAL!E76,COA!$B$5:$B$59,0)),"")</f>
        <v/>
      </c>
      <c r="G76" s="204">
        <v>196000</v>
      </c>
      <c r="H76" s="204"/>
      <c r="J76" s="7" t="str">
        <f t="shared" si="0"/>
        <v/>
      </c>
    </row>
    <row r="77" spans="2:10" ht="15.75" customHeight="1" x14ac:dyDescent="0.2">
      <c r="B77" s="30" t="s">
        <v>389</v>
      </c>
      <c r="C77" s="198"/>
      <c r="D77" s="202" t="s">
        <v>391</v>
      </c>
      <c r="E77" s="200">
        <v>6040</v>
      </c>
      <c r="F77" s="198" t="str">
        <f t="array" ref="F77">IFERROR(INDEX(COA!$C$5:$C$59,MATCH(JURNAL!E77,COA!$B$5:$B$59,0)),"")</f>
        <v/>
      </c>
      <c r="G77" s="204"/>
      <c r="H77" s="204">
        <v>59000</v>
      </c>
      <c r="J77" s="7" t="str">
        <f t="shared" si="0"/>
        <v>16040</v>
      </c>
    </row>
    <row r="78" spans="2:10" ht="15.75" customHeight="1" x14ac:dyDescent="0.2">
      <c r="B78" s="30" t="s">
        <v>389</v>
      </c>
      <c r="C78" s="198"/>
      <c r="D78" s="202" t="s">
        <v>392</v>
      </c>
      <c r="E78" s="200">
        <v>6100</v>
      </c>
      <c r="F78" s="198" t="str">
        <f t="array" ref="F78">IFERROR(INDEX(COA!$C$5:$C$59,MATCH(JURNAL!E78,COA!$B$5:$B$59,0)),"")</f>
        <v/>
      </c>
      <c r="G78" s="204"/>
      <c r="H78" s="204">
        <v>35000</v>
      </c>
      <c r="J78" s="7" t="str">
        <f t="shared" si="0"/>
        <v>16100</v>
      </c>
    </row>
    <row r="79" spans="2:10" ht="15.75" customHeight="1" x14ac:dyDescent="0.2">
      <c r="B79" s="30" t="s">
        <v>389</v>
      </c>
      <c r="C79" s="198"/>
      <c r="D79" s="203" t="s">
        <v>393</v>
      </c>
      <c r="E79" s="200">
        <v>5300</v>
      </c>
      <c r="F79" s="198" t="str">
        <f t="array" ref="F79">IFERROR(INDEX(COA!$C$5:$C$59,MATCH(JURNAL!E79,COA!$B$5:$B$59,0)),"")</f>
        <v>Biaya packaging</v>
      </c>
      <c r="G79" s="204"/>
      <c r="H79" s="204">
        <v>42500</v>
      </c>
      <c r="J79" s="7" t="str">
        <f t="shared" si="0"/>
        <v>25300</v>
      </c>
    </row>
    <row r="80" spans="2:10" ht="15.75" customHeight="1" x14ac:dyDescent="0.2">
      <c r="B80" s="30" t="s">
        <v>389</v>
      </c>
      <c r="C80" s="198"/>
      <c r="D80" s="202" t="s">
        <v>345</v>
      </c>
      <c r="E80" s="200">
        <v>6000</v>
      </c>
      <c r="F80" s="198" t="str">
        <f t="array" ref="F80">IFERROR(INDEX(COA!$C$5:$C$59,MATCH(JURNAL!E80,COA!$B$5:$B$59,0)),"")</f>
        <v/>
      </c>
      <c r="G80" s="204"/>
      <c r="H80" s="204">
        <v>20000</v>
      </c>
      <c r="J80" s="7" t="str">
        <f t="shared" si="0"/>
        <v>36000</v>
      </c>
    </row>
    <row r="81" spans="2:10" ht="15.75" customHeight="1" x14ac:dyDescent="0.2">
      <c r="B81" s="30" t="s">
        <v>389</v>
      </c>
      <c r="C81" s="198"/>
      <c r="D81" s="202" t="s">
        <v>394</v>
      </c>
      <c r="E81" s="200">
        <v>5410</v>
      </c>
      <c r="F81" s="198" t="str">
        <f t="array" ref="F81">IFERROR(INDEX(COA!$C$5:$C$59,MATCH(JURNAL!E81,COA!$B$5:$B$59,0)),"")</f>
        <v>Sleekflow</v>
      </c>
      <c r="G81" s="204"/>
      <c r="H81" s="204">
        <v>11735000</v>
      </c>
      <c r="J81" s="7" t="str">
        <f t="shared" si="0"/>
        <v>15410</v>
      </c>
    </row>
    <row r="82" spans="2:10" ht="15.75" customHeight="1" x14ac:dyDescent="0.2">
      <c r="B82" s="30" t="s">
        <v>389</v>
      </c>
      <c r="C82" s="198"/>
      <c r="D82" s="202" t="s">
        <v>382</v>
      </c>
      <c r="E82" s="200">
        <v>2120</v>
      </c>
      <c r="F82" s="198" t="str">
        <f t="array" ref="F82">IFERROR(INDEX(COA!$C$5:$C$59,MATCH(JURNAL!E82,COA!$B$5:$B$59,0)),"")</f>
        <v>Utang Gaji</v>
      </c>
      <c r="G82" s="204"/>
      <c r="H82" s="204">
        <v>5901167</v>
      </c>
      <c r="J82" s="7" t="str">
        <f t="shared" si="0"/>
        <v>32120</v>
      </c>
    </row>
    <row r="83" spans="2:10" ht="15.75" customHeight="1" x14ac:dyDescent="0.2">
      <c r="B83" s="30" t="s">
        <v>389</v>
      </c>
      <c r="C83" s="198"/>
      <c r="D83" s="202" t="s">
        <v>349</v>
      </c>
      <c r="E83" s="200">
        <v>5440</v>
      </c>
      <c r="F83" s="198" t="str">
        <f t="array" ref="F83">IFERROR(INDEX(COA!$C$5:$C$59,MATCH(JURNAL!E83,COA!$B$5:$B$59,0)),"")</f>
        <v>ADS</v>
      </c>
      <c r="G83" s="204"/>
      <c r="H83" s="204">
        <v>2600000</v>
      </c>
      <c r="J83" s="7" t="str">
        <f t="shared" si="0"/>
        <v>45440</v>
      </c>
    </row>
    <row r="84" spans="2:10" ht="15.75" customHeight="1" x14ac:dyDescent="0.2">
      <c r="B84" s="30" t="s">
        <v>389</v>
      </c>
      <c r="C84" s="198"/>
      <c r="D84" s="202" t="s">
        <v>351</v>
      </c>
      <c r="E84" s="200"/>
      <c r="F84" s="198" t="str">
        <f t="array" ref="F84">IFERROR(INDEX(COA!$C$5:$C$59,MATCH(JURNAL!E84,COA!$B$5:$B$59,0)),"")</f>
        <v/>
      </c>
      <c r="G84" s="204"/>
      <c r="H84" s="204">
        <v>200000</v>
      </c>
      <c r="J84" s="7" t="str">
        <f t="shared" si="0"/>
        <v/>
      </c>
    </row>
    <row r="85" spans="2:10" ht="15.75" customHeight="1" x14ac:dyDescent="0.2">
      <c r="B85" s="30" t="s">
        <v>389</v>
      </c>
      <c r="C85" s="198"/>
      <c r="D85" s="202" t="s">
        <v>395</v>
      </c>
      <c r="E85" s="200">
        <v>5310</v>
      </c>
      <c r="F85" s="198" t="str">
        <f t="array" ref="F85">IFERROR(INDEX(COA!$C$5:$C$59,MATCH(JURNAL!E85,COA!$B$5:$B$59,0)),"")</f>
        <v>Biaya ekspedisi &amp; ongkir</v>
      </c>
      <c r="G85" s="204"/>
      <c r="H85" s="204">
        <v>10000</v>
      </c>
      <c r="J85" s="7" t="str">
        <f t="shared" si="0"/>
        <v>55310</v>
      </c>
    </row>
    <row r="86" spans="2:10" ht="15.75" customHeight="1" x14ac:dyDescent="0.2">
      <c r="B86" s="30" t="s">
        <v>389</v>
      </c>
      <c r="C86" s="198"/>
      <c r="D86" s="202" t="s">
        <v>396</v>
      </c>
      <c r="E86" s="200">
        <v>5310</v>
      </c>
      <c r="F86" s="198" t="str">
        <f t="array" ref="F86">IFERROR(INDEX(COA!$C$5:$C$59,MATCH(JURNAL!E86,COA!$B$5:$B$59,0)),"")</f>
        <v>Biaya ekspedisi &amp; ongkir</v>
      </c>
      <c r="G86" s="204"/>
      <c r="H86" s="204">
        <v>84000</v>
      </c>
      <c r="J86" s="7" t="str">
        <f t="shared" si="0"/>
        <v>65310</v>
      </c>
    </row>
    <row r="87" spans="2:10" ht="15.75" customHeight="1" x14ac:dyDescent="0.2">
      <c r="B87" s="30" t="s">
        <v>389</v>
      </c>
      <c r="C87" s="198"/>
      <c r="D87" s="202" t="s">
        <v>397</v>
      </c>
      <c r="E87" s="200">
        <v>5440</v>
      </c>
      <c r="F87" s="198" t="str">
        <f t="array" ref="F87">IFERROR(INDEX(COA!$C$5:$C$59,MATCH(JURNAL!E87,COA!$B$5:$B$59,0)),"")</f>
        <v>ADS</v>
      </c>
      <c r="G87" s="204"/>
      <c r="H87" s="204">
        <v>400000</v>
      </c>
      <c r="J87" s="7" t="str">
        <f t="shared" si="0"/>
        <v>55440</v>
      </c>
    </row>
    <row r="88" spans="2:10" ht="15.75" customHeight="1" x14ac:dyDescent="0.2">
      <c r="B88" s="30" t="s">
        <v>389</v>
      </c>
      <c r="C88" s="198"/>
      <c r="D88" s="202" t="s">
        <v>398</v>
      </c>
      <c r="E88" s="200">
        <v>6030</v>
      </c>
      <c r="F88" s="198" t="str">
        <f t="array" ref="F88">IFERROR(INDEX(COA!$C$5:$C$59,MATCH(JURNAL!E88,COA!$B$5:$B$59,0)),"")</f>
        <v/>
      </c>
      <c r="G88" s="204"/>
      <c r="H88" s="204">
        <v>246000</v>
      </c>
      <c r="J88" s="7" t="str">
        <f t="shared" si="0"/>
        <v>26030</v>
      </c>
    </row>
    <row r="89" spans="2:10" ht="15.75" customHeight="1" x14ac:dyDescent="0.2">
      <c r="B89" s="30" t="s">
        <v>399</v>
      </c>
      <c r="C89" s="24"/>
      <c r="D89" s="201" t="s">
        <v>291</v>
      </c>
      <c r="E89" s="24">
        <v>4110</v>
      </c>
      <c r="F89" s="198" t="str">
        <f t="array" ref="F89">IFERROR(INDEX(COA!$C$5:$C$59,MATCH(JURNAL!E89,COA!$B$5:$B$59,0)),"")</f>
        <v>Pendapatan jasa</v>
      </c>
      <c r="G89" s="204">
        <v>7724550</v>
      </c>
      <c r="H89" s="204"/>
      <c r="J89" s="7" t="str">
        <f t="shared" si="0"/>
        <v>64110</v>
      </c>
    </row>
    <row r="90" spans="2:10" ht="15.75" customHeight="1" x14ac:dyDescent="0.2">
      <c r="B90" s="30" t="s">
        <v>399</v>
      </c>
      <c r="C90" s="24"/>
      <c r="D90" s="205" t="s">
        <v>400</v>
      </c>
      <c r="E90" s="24">
        <v>7010</v>
      </c>
      <c r="F90" s="198" t="str">
        <f t="array" ref="F90">IFERROR(INDEX(COA!$C$5:$C$59,MATCH(JURNAL!E90,COA!$B$5:$B$59,0)),"")</f>
        <v>pendapatan lain-lain</v>
      </c>
      <c r="G90" s="204">
        <v>200000</v>
      </c>
      <c r="H90" s="204"/>
      <c r="J90" s="7" t="str">
        <f t="shared" si="0"/>
        <v>17010</v>
      </c>
    </row>
    <row r="91" spans="2:10" ht="15.75" customHeight="1" x14ac:dyDescent="0.2">
      <c r="B91" s="30" t="s">
        <v>399</v>
      </c>
      <c r="C91" s="198"/>
      <c r="D91" s="202" t="s">
        <v>401</v>
      </c>
      <c r="E91" s="200">
        <v>5440</v>
      </c>
      <c r="F91" s="198" t="str">
        <f t="array" ref="F91">IFERROR(INDEX(COA!$C$5:$C$59,MATCH(JURNAL!E91,COA!$B$5:$B$59,0)),"")</f>
        <v>ADS</v>
      </c>
      <c r="G91" s="204"/>
      <c r="H91" s="204">
        <v>4000000</v>
      </c>
      <c r="J91" s="7" t="str">
        <f t="shared" si="0"/>
        <v>65440</v>
      </c>
    </row>
    <row r="92" spans="2:10" ht="15.75" customHeight="1" x14ac:dyDescent="0.2">
      <c r="B92" s="30" t="s">
        <v>399</v>
      </c>
      <c r="C92" s="198"/>
      <c r="D92" s="202" t="s">
        <v>351</v>
      </c>
      <c r="E92" s="200"/>
      <c r="F92" s="198" t="str">
        <f t="array" ref="F92">IFERROR(INDEX(COA!$C$5:$C$59,MATCH(JURNAL!E92,COA!$B$5:$B$59,0)),"")</f>
        <v/>
      </c>
      <c r="G92" s="204"/>
      <c r="H92" s="204">
        <v>100000</v>
      </c>
      <c r="J92" s="7" t="str">
        <f t="shared" si="0"/>
        <v/>
      </c>
    </row>
    <row r="93" spans="2:10" ht="15.75" customHeight="1" x14ac:dyDescent="0.2">
      <c r="B93" s="30" t="s">
        <v>399</v>
      </c>
      <c r="C93" s="198"/>
      <c r="D93" s="202" t="s">
        <v>402</v>
      </c>
      <c r="E93" s="200">
        <v>6130</v>
      </c>
      <c r="F93" s="198" t="str">
        <f t="array" ref="F93">IFERROR(INDEX(COA!$C$5:$C$59,MATCH(JURNAL!E93,COA!$B$5:$B$59,0)),"")</f>
        <v/>
      </c>
      <c r="G93" s="204"/>
      <c r="H93" s="204">
        <v>154500</v>
      </c>
      <c r="J93" s="7" t="str">
        <f t="shared" si="0"/>
        <v>16130</v>
      </c>
    </row>
    <row r="94" spans="2:10" ht="15.75" customHeight="1" x14ac:dyDescent="0.2">
      <c r="B94" s="30" t="s">
        <v>399</v>
      </c>
      <c r="C94" s="198"/>
      <c r="D94" s="202" t="s">
        <v>403</v>
      </c>
      <c r="E94" s="200">
        <v>5200</v>
      </c>
      <c r="F94" s="198" t="str">
        <f t="array" ref="F94">IFERROR(INDEX(COA!$C$5:$C$59,MATCH(JURNAL!E94,COA!$B$5:$B$59,0)),"")</f>
        <v xml:space="preserve">Konsumsi lembur &amp; Meeting </v>
      </c>
      <c r="G94" s="204"/>
      <c r="H94" s="204">
        <v>120000</v>
      </c>
      <c r="J94" s="7" t="str">
        <f t="shared" si="0"/>
        <v>35200</v>
      </c>
    </row>
    <row r="95" spans="2:10" ht="15.75" customHeight="1" x14ac:dyDescent="0.2">
      <c r="B95" s="30" t="s">
        <v>399</v>
      </c>
      <c r="C95" s="198"/>
      <c r="D95" s="202" t="s">
        <v>357</v>
      </c>
      <c r="E95" s="200">
        <v>6030</v>
      </c>
      <c r="F95" s="198" t="str">
        <f t="array" ref="F95">IFERROR(INDEX(COA!$C$5:$C$59,MATCH(JURNAL!E95,COA!$B$5:$B$59,0)),"")</f>
        <v/>
      </c>
      <c r="G95" s="204"/>
      <c r="H95" s="204">
        <v>118500</v>
      </c>
      <c r="J95" s="7" t="str">
        <f t="shared" si="0"/>
        <v>36030</v>
      </c>
    </row>
    <row r="96" spans="2:10" ht="15.75" customHeight="1" x14ac:dyDescent="0.2">
      <c r="B96" s="30" t="s">
        <v>399</v>
      </c>
      <c r="C96" s="198"/>
      <c r="D96" s="202" t="s">
        <v>319</v>
      </c>
      <c r="E96" s="200">
        <v>6090</v>
      </c>
      <c r="F96" s="198" t="str">
        <f t="array" ref="F96">IFERROR(INDEX(COA!$C$5:$C$59,MATCH(JURNAL!E96,COA!$B$5:$B$59,0)),"")</f>
        <v/>
      </c>
      <c r="G96" s="204"/>
      <c r="H96" s="204">
        <v>104060</v>
      </c>
      <c r="J96" s="7" t="str">
        <f t="shared" si="0"/>
        <v>16090</v>
      </c>
    </row>
    <row r="97" spans="2:10" ht="15.75" customHeight="1" x14ac:dyDescent="0.2">
      <c r="B97" s="30" t="s">
        <v>399</v>
      </c>
      <c r="C97" s="198"/>
      <c r="D97" s="202" t="s">
        <v>404</v>
      </c>
      <c r="E97" s="200">
        <v>5500</v>
      </c>
      <c r="F97" s="198" t="str">
        <f t="array" ref="F97">IFERROR(INDEX(COA!$C$5:$C$59,MATCH(JURNAL!E97,COA!$B$5:$B$59,0)),"")</f>
        <v>Beban Listrik Office</v>
      </c>
      <c r="G97" s="204"/>
      <c r="H97" s="204">
        <v>53500</v>
      </c>
      <c r="J97" s="7" t="str">
        <f t="shared" si="0"/>
        <v>15500</v>
      </c>
    </row>
    <row r="98" spans="2:10" ht="15.75" customHeight="1" x14ac:dyDescent="0.2">
      <c r="B98" s="30" t="s">
        <v>399</v>
      </c>
      <c r="C98" s="198"/>
      <c r="D98" s="202" t="s">
        <v>405</v>
      </c>
      <c r="E98" s="200">
        <v>5450</v>
      </c>
      <c r="F98" s="198" t="str">
        <f t="array" ref="F98">IFERROR(INDEX(COA!$C$5:$C$59,MATCH(JURNAL!E98,COA!$B$5:$B$59,0)),"")</f>
        <v>WA API</v>
      </c>
      <c r="G98" s="204"/>
      <c r="H98" s="204">
        <v>737568</v>
      </c>
      <c r="J98" s="7" t="str">
        <f t="shared" si="0"/>
        <v>25450</v>
      </c>
    </row>
    <row r="99" spans="2:10" ht="15.75" customHeight="1" x14ac:dyDescent="0.2">
      <c r="B99" s="30" t="s">
        <v>399</v>
      </c>
      <c r="C99" s="198"/>
      <c r="D99" s="203" t="s">
        <v>406</v>
      </c>
      <c r="E99" s="200">
        <v>5030</v>
      </c>
      <c r="F99" s="198" t="str">
        <f t="array" ref="F99">IFERROR(INDEX(COA!$C$5:$C$59,MATCH(JURNAL!E99,COA!$B$5:$B$59,0)),"")</f>
        <v>Hpp reguler</v>
      </c>
      <c r="G99" s="204"/>
      <c r="H99" s="204">
        <v>1214500</v>
      </c>
      <c r="J99" s="7" t="str">
        <f t="shared" si="0"/>
        <v>135030</v>
      </c>
    </row>
    <row r="100" spans="2:10" ht="15.75" customHeight="1" x14ac:dyDescent="0.2">
      <c r="B100" s="30" t="s">
        <v>399</v>
      </c>
      <c r="C100" s="198"/>
      <c r="D100" s="202" t="s">
        <v>407</v>
      </c>
      <c r="E100" s="200"/>
      <c r="F100" s="198" t="str">
        <f t="array" ref="F100">IFERROR(INDEX(COA!$C$5:$C$59,MATCH(JURNAL!E100,COA!$B$5:$B$59,0)),"")</f>
        <v/>
      </c>
      <c r="G100" s="204"/>
      <c r="H100" s="204">
        <v>10000</v>
      </c>
      <c r="J100" s="7" t="str">
        <f t="shared" si="0"/>
        <v/>
      </c>
    </row>
    <row r="101" spans="2:10" ht="15.75" customHeight="1" x14ac:dyDescent="0.2">
      <c r="B101" s="30" t="s">
        <v>399</v>
      </c>
      <c r="C101" s="198"/>
      <c r="D101" s="203" t="s">
        <v>408</v>
      </c>
      <c r="E101" s="200">
        <v>5108</v>
      </c>
      <c r="F101" s="198" t="str">
        <f t="array" ref="F101">IFERROR(INDEX(COA!$C$5:$C$59,MATCH(JURNAL!E101,COA!$B$5:$B$59,0)),"")</f>
        <v>Beban gaji tukang</v>
      </c>
      <c r="G101" s="204"/>
      <c r="H101" s="204">
        <v>752000</v>
      </c>
      <c r="J101" s="7" t="str">
        <f t="shared" si="0"/>
        <v>75108</v>
      </c>
    </row>
    <row r="102" spans="2:10" ht="15.75" customHeight="1" x14ac:dyDescent="0.2">
      <c r="B102" s="30" t="s">
        <v>399</v>
      </c>
      <c r="C102" s="198"/>
      <c r="D102" s="202" t="s">
        <v>409</v>
      </c>
      <c r="E102" s="200">
        <v>5108</v>
      </c>
      <c r="F102" s="198" t="str">
        <f t="array" ref="F102">IFERROR(INDEX(COA!$C$5:$C$59,MATCH(JURNAL!E102,COA!$B$5:$B$59,0)),"")</f>
        <v>Beban gaji tukang</v>
      </c>
      <c r="G102" s="204"/>
      <c r="H102" s="204">
        <v>702000</v>
      </c>
      <c r="J102" s="7" t="str">
        <f t="shared" si="0"/>
        <v>85108</v>
      </c>
    </row>
    <row r="103" spans="2:10" ht="15.75" customHeight="1" x14ac:dyDescent="0.2">
      <c r="B103" s="30" t="s">
        <v>399</v>
      </c>
      <c r="C103" s="198"/>
      <c r="D103" s="202" t="s">
        <v>410</v>
      </c>
      <c r="E103" s="200">
        <v>5108</v>
      </c>
      <c r="F103" s="198" t="str">
        <f t="array" ref="F103">IFERROR(INDEX(COA!$C$5:$C$59,MATCH(JURNAL!E103,COA!$B$5:$B$59,0)),"")</f>
        <v>Beban gaji tukang</v>
      </c>
      <c r="G103" s="204"/>
      <c r="H103" s="204">
        <v>652000</v>
      </c>
      <c r="J103" s="7" t="str">
        <f t="shared" si="0"/>
        <v>95108</v>
      </c>
    </row>
    <row r="104" spans="2:10" ht="15.75" customHeight="1" x14ac:dyDescent="0.2">
      <c r="B104" s="30" t="s">
        <v>399</v>
      </c>
      <c r="C104" s="198"/>
      <c r="D104" s="202" t="s">
        <v>411</v>
      </c>
      <c r="E104" s="200">
        <v>5108</v>
      </c>
      <c r="F104" s="198" t="str">
        <f t="array" ref="F104">IFERROR(INDEX(COA!$C$5:$C$59,MATCH(JURNAL!E104,COA!$B$5:$B$59,0)),"")</f>
        <v>Beban gaji tukang</v>
      </c>
      <c r="G104" s="204"/>
      <c r="H104" s="204">
        <v>574000</v>
      </c>
      <c r="J104" s="7" t="str">
        <f t="shared" si="0"/>
        <v>105108</v>
      </c>
    </row>
    <row r="105" spans="2:10" ht="15.75" customHeight="1" x14ac:dyDescent="0.2">
      <c r="B105" s="30" t="s">
        <v>399</v>
      </c>
      <c r="C105" s="198"/>
      <c r="D105" s="202" t="s">
        <v>412</v>
      </c>
      <c r="E105" s="200">
        <v>5108</v>
      </c>
      <c r="F105" s="198" t="str">
        <f t="array" ref="F105">IFERROR(INDEX(COA!$C$5:$C$59,MATCH(JURNAL!E105,COA!$B$5:$B$59,0)),"")</f>
        <v>Beban gaji tukang</v>
      </c>
      <c r="G105" s="204"/>
      <c r="H105" s="204">
        <v>702000</v>
      </c>
      <c r="J105" s="7" t="str">
        <f t="shared" si="0"/>
        <v>115108</v>
      </c>
    </row>
    <row r="106" spans="2:10" ht="15.75" customHeight="1" x14ac:dyDescent="0.2">
      <c r="B106" s="30" t="s">
        <v>399</v>
      </c>
      <c r="C106" s="198"/>
      <c r="D106" s="202" t="s">
        <v>413</v>
      </c>
      <c r="E106" s="200">
        <v>5108</v>
      </c>
      <c r="F106" s="198" t="str">
        <f t="array" ref="F106">IFERROR(INDEX(COA!$C$5:$C$59,MATCH(JURNAL!E106,COA!$B$5:$B$59,0)),"")</f>
        <v>Beban gaji tukang</v>
      </c>
      <c r="G106" s="204"/>
      <c r="H106" s="204">
        <v>652000</v>
      </c>
      <c r="J106" s="7" t="str">
        <f t="shared" si="0"/>
        <v>125108</v>
      </c>
    </row>
    <row r="107" spans="2:10" ht="15.75" customHeight="1" x14ac:dyDescent="0.2">
      <c r="B107" s="30" t="s">
        <v>399</v>
      </c>
      <c r="C107" s="198"/>
      <c r="D107" s="202" t="s">
        <v>414</v>
      </c>
      <c r="E107" s="200">
        <v>5108</v>
      </c>
      <c r="F107" s="198" t="str">
        <f t="array" ref="F107">IFERROR(INDEX(COA!$C$5:$C$59,MATCH(JURNAL!E107,COA!$B$5:$B$59,0)),"")</f>
        <v>Beban gaji tukang</v>
      </c>
      <c r="G107" s="204"/>
      <c r="H107" s="204">
        <v>600000</v>
      </c>
      <c r="J107" s="7" t="str">
        <f t="shared" si="0"/>
        <v>135108</v>
      </c>
    </row>
    <row r="108" spans="2:10" ht="15.75" customHeight="1" x14ac:dyDescent="0.2">
      <c r="B108" s="30" t="s">
        <v>399</v>
      </c>
      <c r="C108" s="198"/>
      <c r="D108" s="202" t="s">
        <v>415</v>
      </c>
      <c r="E108" s="200">
        <v>5108</v>
      </c>
      <c r="F108" s="198" t="str">
        <f t="array" ref="F108">IFERROR(INDEX(COA!$C$5:$C$59,MATCH(JURNAL!E108,COA!$B$5:$B$59,0)),"")</f>
        <v>Beban gaji tukang</v>
      </c>
      <c r="G108" s="204"/>
      <c r="H108" s="204">
        <v>500000</v>
      </c>
      <c r="J108" s="7" t="str">
        <f t="shared" si="0"/>
        <v>145108</v>
      </c>
    </row>
    <row r="109" spans="2:10" ht="15.75" customHeight="1" x14ac:dyDescent="0.2">
      <c r="B109" s="30" t="s">
        <v>399</v>
      </c>
      <c r="C109" s="198"/>
      <c r="D109" s="202" t="s">
        <v>416</v>
      </c>
      <c r="E109" s="200">
        <v>5108</v>
      </c>
      <c r="F109" s="198" t="str">
        <f t="array" ref="F109">IFERROR(INDEX(COA!$C$5:$C$59,MATCH(JURNAL!E109,COA!$B$5:$B$59,0)),"")</f>
        <v>Beban gaji tukang</v>
      </c>
      <c r="G109" s="204"/>
      <c r="H109" s="204">
        <v>600000</v>
      </c>
      <c r="J109" s="7" t="str">
        <f t="shared" si="0"/>
        <v>155108</v>
      </c>
    </row>
    <row r="110" spans="2:10" ht="15.75" customHeight="1" x14ac:dyDescent="0.2">
      <c r="B110" s="30" t="s">
        <v>399</v>
      </c>
      <c r="C110" s="198"/>
      <c r="D110" s="202" t="s">
        <v>417</v>
      </c>
      <c r="E110" s="200">
        <v>5108</v>
      </c>
      <c r="F110" s="198" t="str">
        <f t="array" ref="F110">IFERROR(INDEX(COA!$C$5:$C$59,MATCH(JURNAL!E110,COA!$B$5:$B$59,0)),"")</f>
        <v>Beban gaji tukang</v>
      </c>
      <c r="G110" s="204"/>
      <c r="H110" s="204">
        <v>500000</v>
      </c>
      <c r="J110" s="7" t="str">
        <f t="shared" si="0"/>
        <v>165108</v>
      </c>
    </row>
    <row r="111" spans="2:10" ht="15.75" customHeight="1" x14ac:dyDescent="0.2">
      <c r="B111" s="30" t="s">
        <v>399</v>
      </c>
      <c r="C111" s="198"/>
      <c r="D111" s="202" t="s">
        <v>418</v>
      </c>
      <c r="E111" s="200">
        <v>5108</v>
      </c>
      <c r="F111" s="198" t="str">
        <f t="array" ref="F111">IFERROR(INDEX(COA!$C$5:$C$59,MATCH(JURNAL!E111,COA!$B$5:$B$59,0)),"")</f>
        <v>Beban gaji tukang</v>
      </c>
      <c r="G111" s="204"/>
      <c r="H111" s="204">
        <v>500000</v>
      </c>
      <c r="J111" s="7" t="str">
        <f t="shared" si="0"/>
        <v>175108</v>
      </c>
    </row>
    <row r="112" spans="2:10" ht="15.75" customHeight="1" x14ac:dyDescent="0.2">
      <c r="B112" s="30" t="s">
        <v>399</v>
      </c>
      <c r="C112" s="198"/>
      <c r="D112" s="203" t="s">
        <v>419</v>
      </c>
      <c r="E112" s="200">
        <v>5108</v>
      </c>
      <c r="F112" s="198" t="str">
        <f t="array" ref="F112">IFERROR(INDEX(COA!$C$5:$C$59,MATCH(JURNAL!E112,COA!$B$5:$B$59,0)),"")</f>
        <v>Beban gaji tukang</v>
      </c>
      <c r="G112" s="204"/>
      <c r="H112" s="204">
        <v>600000</v>
      </c>
      <c r="J112" s="7" t="str">
        <f t="shared" si="0"/>
        <v>185108</v>
      </c>
    </row>
    <row r="113" spans="2:10" ht="15.75" customHeight="1" x14ac:dyDescent="0.2">
      <c r="B113" s="30" t="s">
        <v>399</v>
      </c>
      <c r="C113" s="198"/>
      <c r="D113" s="202" t="s">
        <v>409</v>
      </c>
      <c r="E113" s="200">
        <v>5108</v>
      </c>
      <c r="F113" s="198" t="str">
        <f t="array" ref="F113">IFERROR(INDEX(COA!$C$5:$C$59,MATCH(JURNAL!E113,COA!$B$5:$B$59,0)),"")</f>
        <v>Beban gaji tukang</v>
      </c>
      <c r="G113" s="204"/>
      <c r="H113" s="204">
        <v>497778</v>
      </c>
      <c r="J113" s="7" t="str">
        <f t="shared" si="0"/>
        <v>195108</v>
      </c>
    </row>
    <row r="114" spans="2:10" ht="15.75" customHeight="1" x14ac:dyDescent="0.2">
      <c r="B114" s="30" t="s">
        <v>399</v>
      </c>
      <c r="C114" s="198"/>
      <c r="D114" s="203" t="s">
        <v>420</v>
      </c>
      <c r="E114" s="200">
        <v>5108</v>
      </c>
      <c r="F114" s="198" t="str">
        <f t="array" ref="F114">IFERROR(INDEX(COA!$C$5:$C$59,MATCH(JURNAL!E114,COA!$B$5:$B$59,0)),"")</f>
        <v>Beban gaji tukang</v>
      </c>
      <c r="G114" s="204"/>
      <c r="H114" s="204">
        <v>500000</v>
      </c>
      <c r="J114" s="7" t="str">
        <f t="shared" si="0"/>
        <v>205108</v>
      </c>
    </row>
    <row r="115" spans="2:10" ht="15.75" customHeight="1" x14ac:dyDescent="0.2">
      <c r="B115" s="30" t="s">
        <v>399</v>
      </c>
      <c r="C115" s="198"/>
      <c r="D115" s="202" t="s">
        <v>421</v>
      </c>
      <c r="E115" s="200">
        <v>5108</v>
      </c>
      <c r="F115" s="198" t="str">
        <f t="array" ref="F115">IFERROR(INDEX(COA!$C$5:$C$59,MATCH(JURNAL!E115,COA!$B$5:$B$59,0)),"")</f>
        <v>Beban gaji tukang</v>
      </c>
      <c r="G115" s="204"/>
      <c r="H115" s="204">
        <v>500000</v>
      </c>
      <c r="J115" s="7" t="str">
        <f t="shared" si="0"/>
        <v>215108</v>
      </c>
    </row>
    <row r="116" spans="2:10" ht="15.75" customHeight="1" x14ac:dyDescent="0.2">
      <c r="B116" s="206" t="s">
        <v>399</v>
      </c>
      <c r="C116" s="207"/>
      <c r="D116" s="208" t="s">
        <v>422</v>
      </c>
      <c r="E116" s="209">
        <v>5510</v>
      </c>
      <c r="F116" s="207" t="str">
        <f t="array" ref="F116">IFERROR(INDEX(COA!$C$5:$C$59,MATCH(JURNAL!E116,COA!$B$5:$B$59,0)),"")</f>
        <v>Beban Listrik Workshop</v>
      </c>
      <c r="G116" s="210"/>
      <c r="H116" s="210">
        <v>103500</v>
      </c>
      <c r="J116" s="7" t="str">
        <f t="shared" si="0"/>
        <v>15510</v>
      </c>
    </row>
    <row r="117" spans="2:10" ht="15.75" customHeight="1" x14ac:dyDescent="0.2">
      <c r="B117" s="206" t="s">
        <v>423</v>
      </c>
      <c r="C117" s="217"/>
      <c r="D117" s="208" t="s">
        <v>291</v>
      </c>
      <c r="E117" s="217">
        <v>4110</v>
      </c>
      <c r="F117" s="181" t="str">
        <f t="array" ref="F117">IFERROR(INDEX(COA!$C$5:$C$59,MATCH(JURNAL!E117,COA!$B$5:$B$59,0)),"")</f>
        <v>Pendapatan jasa</v>
      </c>
      <c r="G117" s="210">
        <v>4724484</v>
      </c>
      <c r="H117" s="210"/>
      <c r="J117" s="7" t="str">
        <f>IF(E118="","",COUNTIF($E$7:E118,E118)&amp;E118)</f>
        <v/>
      </c>
    </row>
    <row r="118" spans="2:10" ht="15.75" customHeight="1" x14ac:dyDescent="0.2">
      <c r="B118" s="214" t="s">
        <v>423</v>
      </c>
      <c r="C118" s="215"/>
      <c r="D118" s="215" t="s">
        <v>424</v>
      </c>
      <c r="E118" s="215"/>
      <c r="F118" s="215" t="str">
        <f t="array" ref="F118">IFERROR(INDEX(COA!$C$5:$C$59,MATCH(JURNAL!E118,COA!$B$5:$B$59,0)),"")</f>
        <v/>
      </c>
      <c r="G118" s="204"/>
      <c r="H118" s="204">
        <v>3000000</v>
      </c>
      <c r="J118" s="7" t="str">
        <f>IF(E122="","",COUNTIF($E$7:E122,E122)&amp;E122)</f>
        <v>26090</v>
      </c>
    </row>
    <row r="119" spans="2:10" ht="15.75" customHeight="1" x14ac:dyDescent="0.2">
      <c r="B119" s="214" t="s">
        <v>425</v>
      </c>
      <c r="C119" s="215"/>
      <c r="D119" s="215" t="s">
        <v>291</v>
      </c>
      <c r="E119" s="215">
        <v>4110</v>
      </c>
      <c r="F119" s="215" t="str">
        <f t="array" ref="F119">IFERROR(INDEX(COA!$C$5:$C$59,MATCH(JURNAL!E119,COA!$B$5:$B$59,0)),"")</f>
        <v>Pendapatan jasa</v>
      </c>
      <c r="G119" s="204">
        <v>16074366</v>
      </c>
      <c r="H119" s="204"/>
      <c r="J119" s="7" t="str">
        <f>IF(E123="","",COUNTIF($E$7:E123,E123)&amp;E123)</f>
        <v>26130</v>
      </c>
    </row>
    <row r="120" spans="2:10" ht="15.75" customHeight="1" x14ac:dyDescent="0.2">
      <c r="B120" s="214" t="s">
        <v>425</v>
      </c>
      <c r="C120" s="215"/>
      <c r="D120" s="215" t="s">
        <v>448</v>
      </c>
      <c r="E120" s="215"/>
      <c r="F120" s="215" t="str">
        <f t="array" ref="F120">IFERROR(INDEX(COA!$C$5:$C$59,MATCH(JURNAL!E120,COA!$B$5:$B$59,0)),"")</f>
        <v/>
      </c>
      <c r="G120" s="204">
        <v>166667</v>
      </c>
      <c r="H120" s="204"/>
      <c r="J120" s="7" t="str">
        <f>IF(E124="","",COUNTIF($E$7:E124,E124)&amp;E124)</f>
        <v>15570</v>
      </c>
    </row>
    <row r="121" spans="2:10" ht="15.75" customHeight="1" x14ac:dyDescent="0.2">
      <c r="B121" s="214" t="s">
        <v>425</v>
      </c>
      <c r="C121" s="215"/>
      <c r="D121" s="215" t="s">
        <v>229</v>
      </c>
      <c r="E121" s="215">
        <v>4120</v>
      </c>
      <c r="F121" s="215" t="str">
        <f t="array" ref="F121">IFERROR(INDEX(COA!$C$5:$C$59,MATCH(JURNAL!E121,COA!$B$5:$B$59,0)),"")</f>
        <v>pendapatan shoepolice</v>
      </c>
      <c r="G121" s="204">
        <v>2000000</v>
      </c>
      <c r="H121" s="204"/>
      <c r="J121" s="7" t="str">
        <f>IF(E125="","",COUNTIF($E$7:E125,E125)&amp;E125)</f>
        <v>35450</v>
      </c>
    </row>
    <row r="122" spans="2:10" ht="15.75" customHeight="1" x14ac:dyDescent="0.2">
      <c r="B122" s="211" t="s">
        <v>425</v>
      </c>
      <c r="C122" s="212"/>
      <c r="D122" s="218" t="s">
        <v>426</v>
      </c>
      <c r="E122" s="216">
        <v>6090</v>
      </c>
      <c r="F122" s="212" t="str">
        <f t="array" ref="F122">IFERROR(INDEX(COA!$C$5:$C$59,MATCH(JURNAL!E122,COA!$B$5:$B$59,0)),"")</f>
        <v/>
      </c>
      <c r="G122" s="213"/>
      <c r="H122" s="213">
        <v>10000</v>
      </c>
      <c r="J122" s="7" t="str">
        <f>IF(E126="","",COUNTIF($E$7:E126,E126)&amp;E126)</f>
        <v/>
      </c>
    </row>
    <row r="123" spans="2:10" ht="15.75" customHeight="1" x14ac:dyDescent="0.2">
      <c r="B123" s="30" t="s">
        <v>425</v>
      </c>
      <c r="C123" s="198"/>
      <c r="D123" s="202" t="s">
        <v>427</v>
      </c>
      <c r="E123" s="200">
        <v>6130</v>
      </c>
      <c r="F123" s="198" t="str">
        <f t="array" ref="F123">IFERROR(INDEX(COA!$C$5:$C$59,MATCH(JURNAL!E123,COA!$B$5:$B$59,0)),"")</f>
        <v/>
      </c>
      <c r="G123" s="204"/>
      <c r="H123" s="204">
        <v>275000</v>
      </c>
      <c r="J123" s="7" t="str">
        <f>IF(E127="","",COUNTIF($E$7:E127,E127)&amp;E127)</f>
        <v/>
      </c>
    </row>
    <row r="124" spans="2:10" ht="15.75" customHeight="1" x14ac:dyDescent="0.2">
      <c r="B124" s="30" t="s">
        <v>425</v>
      </c>
      <c r="C124" s="198"/>
      <c r="D124" s="202" t="s">
        <v>349</v>
      </c>
      <c r="E124" s="200">
        <v>5570</v>
      </c>
      <c r="F124" s="198" t="str">
        <f t="array" ref="F124">IFERROR(INDEX(COA!$C$5:$C$59,MATCH(JURNAL!E124,COA!$B$5:$B$59,0)),"")</f>
        <v/>
      </c>
      <c r="G124" s="204"/>
      <c r="H124" s="204">
        <v>2000000</v>
      </c>
      <c r="J124" s="7" t="str">
        <f>IF(E128="","",COUNTIF($E$7:E128,E128)&amp;E128)</f>
        <v>25500</v>
      </c>
    </row>
    <row r="125" spans="2:10" ht="15.75" customHeight="1" x14ac:dyDescent="0.2">
      <c r="B125" s="30" t="s">
        <v>425</v>
      </c>
      <c r="C125" s="198"/>
      <c r="D125" s="202" t="s">
        <v>379</v>
      </c>
      <c r="E125" s="200">
        <v>5450</v>
      </c>
      <c r="F125" s="198" t="str">
        <f t="array" ref="F125">IFERROR(INDEX(COA!$C$5:$C$59,MATCH(JURNAL!E125,COA!$B$5:$B$59,0)),"")</f>
        <v>WA API</v>
      </c>
      <c r="G125" s="204"/>
      <c r="H125" s="204">
        <v>907600</v>
      </c>
      <c r="J125" s="7" t="str">
        <f>IF(E130="","",COUNTIF($E$7:E130,E130)&amp;E130)</f>
        <v>25570</v>
      </c>
    </row>
    <row r="126" spans="2:10" ht="15.75" customHeight="1" x14ac:dyDescent="0.2">
      <c r="B126" s="30" t="s">
        <v>425</v>
      </c>
      <c r="C126" s="198"/>
      <c r="D126" s="203" t="s">
        <v>351</v>
      </c>
      <c r="E126" s="200"/>
      <c r="F126" s="198" t="str">
        <f t="array" ref="F126">IFERROR(INDEX(COA!$C$5:$C$59,MATCH(JURNAL!E126,COA!$B$5:$B$59,0)),"")</f>
        <v/>
      </c>
      <c r="G126" s="204"/>
      <c r="H126" s="204">
        <v>100000</v>
      </c>
      <c r="J126" s="7" t="str">
        <f>IF(E131="","",COUNTIF($E$7:E131,E131)&amp;E131)</f>
        <v>25070</v>
      </c>
    </row>
    <row r="127" spans="2:10" ht="15.75" customHeight="1" x14ac:dyDescent="0.2">
      <c r="B127" s="30" t="s">
        <v>425</v>
      </c>
      <c r="C127" s="198"/>
      <c r="D127" s="202" t="s">
        <v>436</v>
      </c>
      <c r="E127" s="200"/>
      <c r="F127" s="198" t="str">
        <f t="array" ref="F127">IFERROR(INDEX(COA!$C$5:$C$59,MATCH(JURNAL!E127,COA!$B$5:$B$59,0)),"")</f>
        <v/>
      </c>
      <c r="G127" s="204"/>
      <c r="H127" s="204">
        <v>16000</v>
      </c>
      <c r="J127" s="7" t="str">
        <f>IF(E132="","",COUNTIF($E$7:E132,E132)&amp;E132)</f>
        <v>145030</v>
      </c>
    </row>
    <row r="128" spans="2:10" ht="15.75" customHeight="1" x14ac:dyDescent="0.2">
      <c r="B128" s="206" t="s">
        <v>425</v>
      </c>
      <c r="C128" s="207"/>
      <c r="D128" s="208" t="s">
        <v>404</v>
      </c>
      <c r="E128" s="209">
        <v>5500</v>
      </c>
      <c r="F128" s="207" t="str">
        <f t="array" ref="F128">IFERROR(INDEX(COA!$C$5:$C$59,MATCH(JURNAL!E128,COA!$B$5:$B$59,0)),"")</f>
        <v>Beban Listrik Office</v>
      </c>
      <c r="G128" s="210"/>
      <c r="H128" s="210">
        <v>500000</v>
      </c>
      <c r="J128" s="7" t="str">
        <f>IF(E133="","",COUNTIF($E$7:E133,E133)&amp;E133)</f>
        <v>155030</v>
      </c>
    </row>
    <row r="129" spans="2:10" ht="15.75" customHeight="1" x14ac:dyDescent="0.2">
      <c r="B129" s="206" t="s">
        <v>428</v>
      </c>
      <c r="C129" s="215"/>
      <c r="D129" s="203" t="s">
        <v>291</v>
      </c>
      <c r="E129" s="215">
        <v>4110</v>
      </c>
      <c r="F129" s="198" t="str">
        <f t="array" ref="F129">IFERROR(INDEX(COA!$C$5:$C$59,MATCH(JURNAL!E129,COA!$B$5:$B$59,0)),"")</f>
        <v>Pendapatan jasa</v>
      </c>
      <c r="G129" s="204">
        <v>13836429</v>
      </c>
      <c r="H129" s="204"/>
      <c r="J129" s="7" t="str">
        <f>IF(E134="","",COUNTIF($E$7:E134,E134)&amp;E134)</f>
        <v>165030</v>
      </c>
    </row>
    <row r="130" spans="2:10" ht="15.75" customHeight="1" x14ac:dyDescent="0.2">
      <c r="B130" s="211" t="s">
        <v>428</v>
      </c>
      <c r="C130" s="212"/>
      <c r="D130" s="218" t="s">
        <v>429</v>
      </c>
      <c r="E130" s="216">
        <v>5570</v>
      </c>
      <c r="F130" s="212" t="str">
        <f t="array" ref="F130">IFERROR(INDEX(COA!$C$5:$C$59,MATCH(JURNAL!E130,COA!$B$5:$B$59,0)),"")</f>
        <v/>
      </c>
      <c r="G130" s="213"/>
      <c r="H130" s="213">
        <v>333000</v>
      </c>
      <c r="J130" s="7" t="str">
        <f>IF(E135="","",COUNTIF($E$7:E135,E135)&amp;E135)</f>
        <v>145010</v>
      </c>
    </row>
    <row r="131" spans="2:10" ht="15.75" customHeight="1" x14ac:dyDescent="0.2">
      <c r="B131" s="30" t="s">
        <v>428</v>
      </c>
      <c r="C131" s="198"/>
      <c r="D131" s="202" t="s">
        <v>367</v>
      </c>
      <c r="E131" s="200">
        <v>5070</v>
      </c>
      <c r="F131" s="198" t="str">
        <f t="array" ref="F131">IFERROR(INDEX(COA!$C$5:$C$59,MATCH(JURNAL!E131,COA!$B$5:$B$59,0)),"")</f>
        <v>Hpp Aksesoris</v>
      </c>
      <c r="G131" s="204"/>
      <c r="H131" s="204">
        <v>25000</v>
      </c>
      <c r="J131" s="7" t="str">
        <f>IF(E136="","",COUNTIF($E$7:E136,E136)&amp;E136)</f>
        <v>155010</v>
      </c>
    </row>
    <row r="132" spans="2:10" ht="15.75" customHeight="1" x14ac:dyDescent="0.2">
      <c r="B132" s="30" t="s">
        <v>428</v>
      </c>
      <c r="C132" s="198"/>
      <c r="D132" s="202" t="s">
        <v>359</v>
      </c>
      <c r="E132" s="200">
        <v>5030</v>
      </c>
      <c r="F132" s="198" t="str">
        <f t="array" ref="F132">IFERROR(INDEX(COA!$C$5:$C$59,MATCH(JURNAL!E132,COA!$B$5:$B$59,0)),"")</f>
        <v>Hpp reguler</v>
      </c>
      <c r="G132" s="204"/>
      <c r="H132" s="204">
        <v>40000</v>
      </c>
      <c r="J132" s="7" t="str">
        <f>IF(E137="","",COUNTIF($E$7:E137,E137)&amp;E137)</f>
        <v>165010</v>
      </c>
    </row>
    <row r="133" spans="2:10" ht="15.75" customHeight="1" x14ac:dyDescent="0.2">
      <c r="B133" s="30" t="s">
        <v>428</v>
      </c>
      <c r="C133" s="198"/>
      <c r="D133" s="202" t="s">
        <v>360</v>
      </c>
      <c r="E133" s="200">
        <v>5030</v>
      </c>
      <c r="F133" s="198" t="str">
        <f t="array" ref="F133">IFERROR(INDEX(COA!$C$5:$C$59,MATCH(JURNAL!E133,COA!$B$5:$B$59,0)),"")</f>
        <v>Hpp reguler</v>
      </c>
      <c r="G133" s="204"/>
      <c r="H133" s="204">
        <v>968000</v>
      </c>
      <c r="J133" s="7" t="str">
        <f>IF(E138="","",COUNTIF($E$7:E138,E138)&amp;E138)</f>
        <v>75310</v>
      </c>
    </row>
    <row r="134" spans="2:10" ht="15.75" customHeight="1" x14ac:dyDescent="0.2">
      <c r="B134" s="30" t="s">
        <v>428</v>
      </c>
      <c r="C134" s="198"/>
      <c r="D134" s="202" t="s">
        <v>430</v>
      </c>
      <c r="E134" s="200">
        <v>5030</v>
      </c>
      <c r="F134" s="198" t="str">
        <f t="array" ref="F134">IFERROR(INDEX(COA!$C$5:$C$59,MATCH(JURNAL!E134,COA!$B$5:$B$59,0)),"")</f>
        <v>Hpp reguler</v>
      </c>
      <c r="G134" s="204"/>
      <c r="H134" s="204">
        <v>111000</v>
      </c>
      <c r="J134" s="7" t="str">
        <f>IF(E139="","",COUNTIF($E$7:E139,E139)&amp;E139)</f>
        <v>175030</v>
      </c>
    </row>
    <row r="135" spans="2:10" ht="15.75" customHeight="1" x14ac:dyDescent="0.2">
      <c r="B135" s="30" t="s">
        <v>428</v>
      </c>
      <c r="C135" s="198"/>
      <c r="D135" s="202" t="s">
        <v>336</v>
      </c>
      <c r="E135" s="200">
        <v>5010</v>
      </c>
      <c r="F135" s="198" t="str">
        <f t="array" ref="F135">IFERROR(INDEX(COA!$C$5:$C$59,MATCH(JURNAL!E135,COA!$B$5:$B$59,0)),"")</f>
        <v>Hpp sole</v>
      </c>
      <c r="G135" s="204"/>
      <c r="H135" s="204">
        <v>212000</v>
      </c>
      <c r="J135" s="7" t="str">
        <f>IF(E140="","",COUNTIF($E$7:E140,E140)&amp;E140)</f>
        <v>46000</v>
      </c>
    </row>
    <row r="136" spans="2:10" ht="15.75" customHeight="1" x14ac:dyDescent="0.2">
      <c r="B136" s="30" t="s">
        <v>428</v>
      </c>
      <c r="C136" s="198"/>
      <c r="D136" s="202" t="s">
        <v>335</v>
      </c>
      <c r="E136" s="200">
        <v>5010</v>
      </c>
      <c r="F136" s="198" t="str">
        <f t="array" ref="F136">IFERROR(INDEX(COA!$C$5:$C$59,MATCH(JURNAL!E136,COA!$B$5:$B$59,0)),"")</f>
        <v>Hpp sole</v>
      </c>
      <c r="G136" s="204"/>
      <c r="H136" s="204">
        <v>149500</v>
      </c>
      <c r="J136" s="7" t="str">
        <f>IF(E141="","",COUNTIF($E$7:E141,E141)&amp;E141)</f>
        <v>175010</v>
      </c>
    </row>
    <row r="137" spans="2:10" ht="15.75" customHeight="1" x14ac:dyDescent="0.2">
      <c r="B137" s="30" t="s">
        <v>428</v>
      </c>
      <c r="C137" s="198"/>
      <c r="D137" s="202" t="s">
        <v>337</v>
      </c>
      <c r="E137" s="200">
        <v>5010</v>
      </c>
      <c r="F137" s="198" t="str">
        <f t="array" ref="F137">IFERROR(INDEX(COA!$C$5:$C$59,MATCH(JURNAL!E137,COA!$B$5:$B$59,0)),"")</f>
        <v>Hpp sole</v>
      </c>
      <c r="G137" s="204"/>
      <c r="H137" s="204">
        <v>156000</v>
      </c>
      <c r="J137" s="7" t="str">
        <f>IF(E142="","",COUNTIF($E$7:E142,E142)&amp;E142)</f>
        <v>25020</v>
      </c>
    </row>
    <row r="138" spans="2:10" ht="15.75" customHeight="1" x14ac:dyDescent="0.2">
      <c r="B138" s="30" t="s">
        <v>428</v>
      </c>
      <c r="C138" s="198"/>
      <c r="D138" s="202" t="s">
        <v>431</v>
      </c>
      <c r="E138" s="200">
        <v>5310</v>
      </c>
      <c r="F138" s="198" t="str">
        <f t="array" ref="F138">IFERROR(INDEX(COA!$C$5:$C$59,MATCH(JURNAL!E138,COA!$B$5:$B$59,0)),"")</f>
        <v>Biaya ekspedisi &amp; ongkir</v>
      </c>
      <c r="G138" s="204"/>
      <c r="H138" s="204">
        <v>40976</v>
      </c>
      <c r="J138" s="7" t="str">
        <f>IF(E143="","",COUNTIF($E$7:E143,E143)&amp;E143)</f>
        <v>35020</v>
      </c>
    </row>
    <row r="139" spans="2:10" ht="15.75" customHeight="1" x14ac:dyDescent="0.2">
      <c r="B139" s="30" t="s">
        <v>428</v>
      </c>
      <c r="C139" s="198"/>
      <c r="D139" s="202" t="s">
        <v>363</v>
      </c>
      <c r="E139" s="200">
        <v>5030</v>
      </c>
      <c r="F139" s="198" t="str">
        <f t="array" ref="F139">IFERROR(INDEX(COA!$C$5:$C$59,MATCH(JURNAL!E139,COA!$B$5:$B$59,0)),"")</f>
        <v>Hpp reguler</v>
      </c>
      <c r="G139" s="204"/>
      <c r="H139" s="204">
        <v>383500</v>
      </c>
      <c r="J139" s="7" t="str">
        <f>IF(E144="","",COUNTIF($E$7:E144,E144)&amp;E144)</f>
        <v/>
      </c>
    </row>
    <row r="140" spans="2:10" ht="15.75" customHeight="1" x14ac:dyDescent="0.2">
      <c r="B140" s="30" t="s">
        <v>428</v>
      </c>
      <c r="C140" s="198"/>
      <c r="D140" s="202" t="s">
        <v>432</v>
      </c>
      <c r="E140" s="200">
        <v>6000</v>
      </c>
      <c r="F140" s="198" t="str">
        <f t="array" ref="F140">IFERROR(INDEX(COA!$C$5:$C$59,MATCH(JURNAL!E140,COA!$B$5:$B$59,0)),"")</f>
        <v/>
      </c>
      <c r="G140" s="204"/>
      <c r="H140" s="204">
        <v>20000</v>
      </c>
      <c r="J140" s="7" t="str">
        <f>IF(E145="","",COUNTIF($E$7:E145,E145)&amp;E145)</f>
        <v>75440</v>
      </c>
    </row>
    <row r="141" spans="2:10" ht="15.75" customHeight="1" x14ac:dyDescent="0.2">
      <c r="B141" s="30" t="s">
        <v>428</v>
      </c>
      <c r="C141" s="198"/>
      <c r="D141" s="202" t="s">
        <v>433</v>
      </c>
      <c r="E141" s="200">
        <v>5010</v>
      </c>
      <c r="F141" s="198" t="str">
        <f t="array" ref="F141">IFERROR(INDEX(COA!$C$5:$C$59,MATCH(JURNAL!E141,COA!$B$5:$B$59,0)),"")</f>
        <v>Hpp sole</v>
      </c>
      <c r="G141" s="204"/>
      <c r="H141" s="204">
        <v>45000</v>
      </c>
      <c r="J141" s="7" t="str">
        <f>IF(E146="","",COUNTIF($E$7:E146,E146)&amp;E146)</f>
        <v>85310</v>
      </c>
    </row>
    <row r="142" spans="2:10" ht="15.75" customHeight="1" x14ac:dyDescent="0.2">
      <c r="B142" s="30" t="s">
        <v>428</v>
      </c>
      <c r="C142" s="198"/>
      <c r="D142" s="202" t="s">
        <v>434</v>
      </c>
      <c r="E142" s="200">
        <v>5020</v>
      </c>
      <c r="F142" s="198" t="str">
        <f t="array" ref="F142">IFERROR(INDEX(COA!$C$5:$C$59,MATCH(JURNAL!E142,COA!$B$5:$B$59,0)),"")</f>
        <v>Hpp upper</v>
      </c>
      <c r="G142" s="204"/>
      <c r="H142" s="204">
        <v>590000</v>
      </c>
      <c r="J142" s="7" t="str">
        <f>IF(E147="","",COUNTIF($E$7:E147,E147)&amp;E147)</f>
        <v>95310</v>
      </c>
    </row>
    <row r="143" spans="2:10" ht="15.75" customHeight="1" x14ac:dyDescent="0.2">
      <c r="B143" s="30" t="s">
        <v>428</v>
      </c>
      <c r="C143" s="198"/>
      <c r="D143" s="202" t="s">
        <v>435</v>
      </c>
      <c r="E143" s="200">
        <v>5020</v>
      </c>
      <c r="F143" s="198" t="str">
        <f t="array" ref="F143">IFERROR(INDEX(COA!$C$5:$C$59,MATCH(JURNAL!E143,COA!$B$5:$B$59,0)),"")</f>
        <v>Hpp upper</v>
      </c>
      <c r="G143" s="204"/>
      <c r="H143" s="204">
        <v>7000</v>
      </c>
      <c r="J143" s="7" t="str">
        <f>IF(E148="","",COUNTIF($E$7:E148,E148)&amp;E148)</f>
        <v>105310</v>
      </c>
    </row>
    <row r="144" spans="2:10" ht="15.75" customHeight="1" x14ac:dyDescent="0.2">
      <c r="B144" s="30" t="s">
        <v>428</v>
      </c>
      <c r="C144" s="198"/>
      <c r="D144" s="202" t="s">
        <v>351</v>
      </c>
      <c r="E144" s="200"/>
      <c r="F144" s="198" t="str">
        <f t="array" ref="F144">IFERROR(INDEX(COA!$C$5:$C$59,MATCH(JURNAL!E144,COA!$B$5:$B$59,0)),"")</f>
        <v/>
      </c>
      <c r="G144" s="204"/>
      <c r="H144" s="204"/>
      <c r="J144" s="7" t="str">
        <f>IF(E149="","",COUNTIF($E$7:E149,E149)&amp;E149)</f>
        <v>115310</v>
      </c>
    </row>
    <row r="145" spans="2:10" ht="15.75" customHeight="1" x14ac:dyDescent="0.2">
      <c r="B145" s="30" t="s">
        <v>428</v>
      </c>
      <c r="C145" s="198"/>
      <c r="D145" s="203" t="s">
        <v>349</v>
      </c>
      <c r="E145" s="200">
        <v>5440</v>
      </c>
      <c r="F145" s="198" t="str">
        <f t="array" ref="F145">IFERROR(INDEX(COA!$C$5:$C$59,MATCH(JURNAL!E145,COA!$B$5:$B$59,0)),"")</f>
        <v>ADS</v>
      </c>
      <c r="G145" s="204"/>
      <c r="H145" s="204"/>
      <c r="J145" s="7" t="str">
        <f>IF(E150="","",COUNTIF($E$7:E150,E150)&amp;E150)</f>
        <v>35300</v>
      </c>
    </row>
    <row r="146" spans="2:10" ht="15.75" customHeight="1" x14ac:dyDescent="0.2">
      <c r="B146" s="30" t="s">
        <v>428</v>
      </c>
      <c r="C146" s="198"/>
      <c r="D146" s="202" t="s">
        <v>437</v>
      </c>
      <c r="E146" s="200">
        <v>5310</v>
      </c>
      <c r="F146" s="198" t="str">
        <f t="array" ref="F146">IFERROR(INDEX(COA!$C$5:$C$59,MATCH(JURNAL!E146,COA!$B$5:$B$59,0)),"")</f>
        <v>Biaya ekspedisi &amp; ongkir</v>
      </c>
      <c r="G146" s="204"/>
      <c r="H146" s="204"/>
      <c r="J146" s="7" t="str">
        <f>IF(E152="","",COUNTIF($E$7:E152,E152)&amp;E152)</f>
        <v/>
      </c>
    </row>
    <row r="147" spans="2:10" ht="15.75" customHeight="1" x14ac:dyDescent="0.2">
      <c r="B147" s="30" t="s">
        <v>428</v>
      </c>
      <c r="C147" s="198"/>
      <c r="D147" s="202" t="s">
        <v>438</v>
      </c>
      <c r="E147" s="200">
        <v>5310</v>
      </c>
      <c r="F147" s="198" t="str">
        <f t="array" ref="F147">IFERROR(INDEX(COA!$C$5:$C$59,MATCH(JURNAL!E147,COA!$B$5:$B$59,0)),"")</f>
        <v>Biaya ekspedisi &amp; ongkir</v>
      </c>
      <c r="G147" s="204"/>
      <c r="H147" s="204"/>
      <c r="J147" s="7" t="str">
        <f>IF(E153="","",COUNTIF($E$7:E153,E153)&amp;E153)</f>
        <v>14170</v>
      </c>
    </row>
    <row r="148" spans="2:10" ht="15.75" customHeight="1" x14ac:dyDescent="0.2">
      <c r="B148" s="30" t="s">
        <v>428</v>
      </c>
      <c r="C148" s="198"/>
      <c r="D148" s="202" t="s">
        <v>439</v>
      </c>
      <c r="E148" s="200">
        <v>5310</v>
      </c>
      <c r="F148" s="198" t="str">
        <f t="array" ref="F148">IFERROR(INDEX(COA!$C$5:$C$59,MATCH(JURNAL!E148,COA!$B$5:$B$59,0)),"")</f>
        <v>Biaya ekspedisi &amp; ongkir</v>
      </c>
      <c r="G148" s="204"/>
      <c r="H148" s="204"/>
      <c r="J148" s="7" t="str">
        <f>IF(E154="","",COUNTIF($E$7:E154,E154)&amp;E154)</f>
        <v>45200</v>
      </c>
    </row>
    <row r="149" spans="2:10" ht="15.75" customHeight="1" x14ac:dyDescent="0.2">
      <c r="B149" s="30" t="s">
        <v>428</v>
      </c>
      <c r="C149" s="198"/>
      <c r="D149" s="202" t="s">
        <v>440</v>
      </c>
      <c r="E149" s="200">
        <v>5310</v>
      </c>
      <c r="F149" s="198" t="str">
        <f t="array" ref="F149">IFERROR(INDEX(COA!$C$5:$C$59,MATCH(JURNAL!E149,COA!$B$5:$B$59,0)),"")</f>
        <v>Biaya ekspedisi &amp; ongkir</v>
      </c>
      <c r="G149" s="204"/>
      <c r="H149" s="204"/>
      <c r="J149" s="7" t="str">
        <f>IF(E155="","",COUNTIF($E$7:E155,E155)&amp;E155)</f>
        <v>85440</v>
      </c>
    </row>
    <row r="150" spans="2:10" ht="15.75" customHeight="1" x14ac:dyDescent="0.2">
      <c r="B150" s="30" t="s">
        <v>428</v>
      </c>
      <c r="C150" s="198"/>
      <c r="D150" s="202" t="s">
        <v>441</v>
      </c>
      <c r="E150" s="200">
        <v>5300</v>
      </c>
      <c r="F150" s="198" t="str">
        <f t="array" ref="F150">IFERROR(INDEX(COA!$C$5:$C$59,MATCH(JURNAL!E150,COA!$B$5:$B$59,0)),"")</f>
        <v>Biaya packaging</v>
      </c>
      <c r="G150" s="204"/>
      <c r="H150" s="204"/>
      <c r="J150" s="7" t="str">
        <f>IF(E156="","",COUNTIF($E$7:E156,E156)&amp;E156)</f>
        <v/>
      </c>
    </row>
    <row r="151" spans="2:10" ht="15.75" customHeight="1" x14ac:dyDescent="0.2">
      <c r="B151" s="30" t="s">
        <v>442</v>
      </c>
      <c r="C151" s="198"/>
      <c r="D151" s="202" t="s">
        <v>291</v>
      </c>
      <c r="E151" s="200"/>
      <c r="F151" s="198" t="str">
        <f t="array" ref="F151">IFERROR(INDEX(COA!$C$5:$C$59,MATCH(JURNAL!E151,COA!$B$5:$B$59,0)),"")</f>
        <v/>
      </c>
      <c r="G151" s="204">
        <v>10022933</v>
      </c>
      <c r="H151" s="204"/>
      <c r="J151" s="7" t="str">
        <f>IF(E157="","",COUNTIF($E$7:E157,E157)&amp;E157)</f>
        <v>15600</v>
      </c>
    </row>
    <row r="152" spans="2:10" ht="15.75" customHeight="1" x14ac:dyDescent="0.2">
      <c r="B152" s="30" t="s">
        <v>442</v>
      </c>
      <c r="C152" s="198"/>
      <c r="D152" s="202" t="s">
        <v>351</v>
      </c>
      <c r="E152" s="200"/>
      <c r="F152" s="198" t="str">
        <f t="array" ref="F152">IFERROR(INDEX(COA!$C$5:$C$59,MATCH(JURNAL!E152,COA!$B$5:$B$59,0)),"")</f>
        <v/>
      </c>
      <c r="G152" s="204"/>
      <c r="H152" s="204">
        <v>65000</v>
      </c>
      <c r="J152" s="7" t="str">
        <f>IF(E158="","",COUNTIF($E$7:E158,E158)&amp;E158)</f>
        <v>15430</v>
      </c>
    </row>
    <row r="153" spans="2:10" ht="15.75" customHeight="1" x14ac:dyDescent="0.2">
      <c r="B153" s="30" t="s">
        <v>442</v>
      </c>
      <c r="C153" s="198"/>
      <c r="D153" s="202" t="s">
        <v>443</v>
      </c>
      <c r="E153" s="200">
        <v>4170</v>
      </c>
      <c r="F153" s="24" t="str">
        <f t="array" ref="F153">IFERROR(INDEX(COA!$C$5:$C$59,MATCH(JURNAL!E153,COA!$B$5:$B$59,0)),"")</f>
        <v>Retur &amp; Refund</v>
      </c>
      <c r="G153" s="204"/>
      <c r="H153" s="204">
        <v>150000</v>
      </c>
      <c r="J153" s="7" t="str">
        <f>IF(E159="","",COUNTIF($E$7:E159,E159)&amp;E159)</f>
        <v>36130</v>
      </c>
    </row>
    <row r="154" spans="2:10" ht="15.75" customHeight="1" x14ac:dyDescent="0.2">
      <c r="B154" s="30" t="s">
        <v>442</v>
      </c>
      <c r="C154" s="198"/>
      <c r="D154" s="202" t="s">
        <v>444</v>
      </c>
      <c r="E154" s="200">
        <v>5200</v>
      </c>
      <c r="F154" s="24" t="str">
        <f t="array" ref="F154">IFERROR(INDEX(COA!$C$5:$C$59,MATCH(JURNAL!E154,COA!$B$5:$B$59,0)),"")</f>
        <v xml:space="preserve">Konsumsi lembur &amp; Meeting </v>
      </c>
      <c r="G154" s="204"/>
      <c r="H154" s="204">
        <v>66000</v>
      </c>
      <c r="J154" s="7" t="str">
        <f>IF(E160="","",COUNTIF($E$7:E160,E160)&amp;E160)</f>
        <v>25510</v>
      </c>
    </row>
    <row r="155" spans="2:10" ht="15.75" customHeight="1" x14ac:dyDescent="0.2">
      <c r="B155" s="30" t="s">
        <v>442</v>
      </c>
      <c r="C155" s="198"/>
      <c r="D155" s="202" t="s">
        <v>349</v>
      </c>
      <c r="E155" s="200">
        <v>5440</v>
      </c>
      <c r="F155" s="24" t="str">
        <f t="array" ref="F155">IFERROR(INDEX(COA!$C$5:$C$59,MATCH(JURNAL!E155,COA!$B$5:$B$59,0)),"")</f>
        <v>ADS</v>
      </c>
      <c r="G155" s="204"/>
      <c r="H155" s="204">
        <v>2000000</v>
      </c>
      <c r="J155" s="7" t="str">
        <f>IF(E161="","",COUNTIF($E$7:E161,E161)&amp;E161)</f>
        <v>104110</v>
      </c>
    </row>
    <row r="156" spans="2:10" ht="15.75" customHeight="1" x14ac:dyDescent="0.2">
      <c r="B156" s="30" t="s">
        <v>442</v>
      </c>
      <c r="C156" s="198"/>
      <c r="D156" s="202" t="s">
        <v>445</v>
      </c>
      <c r="E156" s="200"/>
      <c r="F156" s="24" t="str">
        <f t="array" ref="F156">IFERROR(INDEX(COA!$C$5:$C$59,MATCH(JURNAL!E156,COA!$B$5:$B$59,0)),"")</f>
        <v/>
      </c>
      <c r="G156" s="204"/>
      <c r="H156" s="204">
        <v>200000</v>
      </c>
      <c r="J156" s="7" t="str">
        <f>IF(E162="","",COUNTIF($E$7:E162,E162)&amp;E162)</f>
        <v>46130</v>
      </c>
    </row>
    <row r="157" spans="2:10" ht="15.75" customHeight="1" x14ac:dyDescent="0.2">
      <c r="B157" s="30" t="s">
        <v>442</v>
      </c>
      <c r="C157" s="198"/>
      <c r="D157" s="203" t="s">
        <v>446</v>
      </c>
      <c r="E157" s="200">
        <v>5600</v>
      </c>
      <c r="F157" s="24" t="str">
        <f t="array" ref="F157">IFERROR(INDEX(COA!$C$5:$C$59,MATCH(JURNAL!E157,COA!$B$5:$B$59,0)),"")</f>
        <v/>
      </c>
      <c r="G157" s="204"/>
      <c r="H157" s="204">
        <v>20000000</v>
      </c>
      <c r="J157" s="7" t="str">
        <f>IF(E163="","",COUNTIF($E$7:E163,E163)&amp;E163)</f>
        <v>185010</v>
      </c>
    </row>
    <row r="158" spans="2:10" ht="15.75" customHeight="1" x14ac:dyDescent="0.2">
      <c r="B158" s="30" t="s">
        <v>442</v>
      </c>
      <c r="C158" s="198"/>
      <c r="D158" s="202" t="s">
        <v>447</v>
      </c>
      <c r="E158" s="200">
        <v>5430</v>
      </c>
      <c r="F158" s="24" t="str">
        <f t="array" ref="F158">IFERROR(INDEX(COA!$C$5:$C$59,MATCH(JURNAL!E158,COA!$B$5:$B$59,0)),"")</f>
        <v>server domainesia</v>
      </c>
      <c r="G158" s="204"/>
      <c r="H158" s="204">
        <v>1778002</v>
      </c>
      <c r="J158" s="7" t="str">
        <f>IF(E164="","",COUNTIF($E$7:E164,E164)&amp;E164)</f>
        <v>195010</v>
      </c>
    </row>
    <row r="159" spans="2:10" ht="15.75" customHeight="1" x14ac:dyDescent="0.2">
      <c r="B159" s="30" t="s">
        <v>442</v>
      </c>
      <c r="C159" s="198"/>
      <c r="D159" s="202" t="s">
        <v>449</v>
      </c>
      <c r="E159" s="200">
        <v>6130</v>
      </c>
      <c r="F159" s="24" t="str">
        <f t="array" ref="F159">IFERROR(INDEX(COA!$C$5:$C$59,MATCH(JURNAL!E159,COA!$B$5:$B$59,0)),"")</f>
        <v/>
      </c>
      <c r="G159" s="204"/>
      <c r="H159" s="204">
        <v>200000</v>
      </c>
      <c r="J159" s="7" t="str">
        <f>IF(E165="","",COUNTIF($E$7:E165,E165)&amp;E165)</f>
        <v>205010</v>
      </c>
    </row>
    <row r="160" spans="2:10" ht="15.75" customHeight="1" x14ac:dyDescent="0.2">
      <c r="B160" s="30" t="s">
        <v>442</v>
      </c>
      <c r="C160" s="198"/>
      <c r="D160" s="202" t="s">
        <v>422</v>
      </c>
      <c r="E160" s="200">
        <v>5510</v>
      </c>
      <c r="F160" s="24" t="str">
        <f t="array" ref="F160">IFERROR(INDEX(COA!$C$5:$C$59,MATCH(JURNAL!E160,COA!$B$5:$B$59,0)),"")</f>
        <v>Beban Listrik Workshop</v>
      </c>
      <c r="G160" s="204"/>
      <c r="H160" s="204">
        <v>502500</v>
      </c>
      <c r="J160" s="7" t="str">
        <f>IF(E166="","",COUNTIF($E$7:E166,E166)&amp;E166)</f>
        <v>215010</v>
      </c>
    </row>
    <row r="161" spans="2:10" ht="15.75" customHeight="1" x14ac:dyDescent="0.2">
      <c r="B161" s="30" t="s">
        <v>450</v>
      </c>
      <c r="C161" s="24"/>
      <c r="D161" s="61" t="s">
        <v>291</v>
      </c>
      <c r="E161" s="24">
        <v>4110</v>
      </c>
      <c r="F161" s="24" t="str">
        <f t="array" ref="F161">IFERROR(INDEX(COA!$C$5:$C$59,MATCH(JURNAL!E161,COA!$B$5:$B$59,0)),"")</f>
        <v>Pendapatan jasa</v>
      </c>
      <c r="G161" s="204">
        <v>11359313</v>
      </c>
      <c r="H161" s="204"/>
      <c r="J161" s="7" t="str">
        <f>IF(E167="","",COUNTIF($E$7:E167,E167)&amp;E167)</f>
        <v/>
      </c>
    </row>
    <row r="162" spans="2:10" ht="15.75" customHeight="1" x14ac:dyDescent="0.2">
      <c r="B162" s="30" t="s">
        <v>450</v>
      </c>
      <c r="C162" s="198"/>
      <c r="D162" s="202" t="s">
        <v>427</v>
      </c>
      <c r="E162" s="200">
        <v>6130</v>
      </c>
      <c r="F162" s="24" t="str">
        <f t="array" ref="F162">IFERROR(INDEX(COA!$C$5:$C$59,MATCH(JURNAL!E162,COA!$B$5:$B$59,0)),"")</f>
        <v/>
      </c>
      <c r="G162" s="204"/>
      <c r="H162" s="204">
        <v>965000</v>
      </c>
      <c r="J162" s="7" t="str">
        <f>IF(E168="","",COUNTIF($E$7:E168,E168)&amp;E168)</f>
        <v/>
      </c>
    </row>
    <row r="163" spans="2:10" ht="15.75" customHeight="1" x14ac:dyDescent="0.2">
      <c r="B163" s="30" t="s">
        <v>450</v>
      </c>
      <c r="C163" s="198"/>
      <c r="D163" s="202" t="s">
        <v>451</v>
      </c>
      <c r="E163" s="200">
        <v>5010</v>
      </c>
      <c r="F163" s="24" t="str">
        <f t="array" ref="F163">IFERROR(INDEX(COA!$C$5:$C$59,MATCH(JURNAL!E163,COA!$B$5:$B$59,0)),"")</f>
        <v>Hpp sole</v>
      </c>
      <c r="G163" s="204"/>
      <c r="H163" s="204">
        <v>40000</v>
      </c>
      <c r="J163" s="7" t="str">
        <f>IF(E169="","",COUNTIF($E$7:E169,E169)&amp;E169)</f>
        <v>25600</v>
      </c>
    </row>
    <row r="164" spans="2:10" ht="15.75" customHeight="1" x14ac:dyDescent="0.2">
      <c r="B164" s="30" t="s">
        <v>450</v>
      </c>
      <c r="C164" s="198"/>
      <c r="D164" s="202" t="s">
        <v>337</v>
      </c>
      <c r="E164" s="200">
        <v>5010</v>
      </c>
      <c r="F164" s="24" t="str">
        <f t="array" ref="F164">IFERROR(INDEX(COA!$C$5:$C$59,MATCH(JURNAL!E164,COA!$B$5:$B$59,0)),"")</f>
        <v>Hpp sole</v>
      </c>
      <c r="G164" s="204"/>
      <c r="H164" s="204">
        <v>476000</v>
      </c>
      <c r="J164" s="7" t="str">
        <f>IF(E170="","",COUNTIF($E$7:E170,E170)&amp;E170)</f>
        <v>45450</v>
      </c>
    </row>
    <row r="165" spans="2:10" ht="15.75" customHeight="1" x14ac:dyDescent="0.2">
      <c r="B165" s="30" t="s">
        <v>450</v>
      </c>
      <c r="C165" s="198"/>
      <c r="D165" s="202" t="s">
        <v>336</v>
      </c>
      <c r="E165" s="200">
        <v>5010</v>
      </c>
      <c r="F165" s="24" t="str">
        <f t="array" ref="F165">IFERROR(INDEX(COA!$C$5:$C$59,MATCH(JURNAL!E165,COA!$B$5:$B$59,0)),"")</f>
        <v>Hpp sole</v>
      </c>
      <c r="G165" s="204"/>
      <c r="H165" s="204">
        <v>59000</v>
      </c>
      <c r="J165" s="7" t="str">
        <f>IF(E171="","",COUNTIF($E$7:E171,E171)&amp;E171)</f>
        <v>95440</v>
      </c>
    </row>
    <row r="166" spans="2:10" ht="15.75" customHeight="1" x14ac:dyDescent="0.2">
      <c r="B166" s="30" t="s">
        <v>450</v>
      </c>
      <c r="C166" s="198"/>
      <c r="D166" s="202" t="s">
        <v>344</v>
      </c>
      <c r="E166" s="200">
        <v>5010</v>
      </c>
      <c r="F166" s="24" t="str">
        <f t="array" ref="F166">IFERROR(INDEX(COA!$C$5:$C$59,MATCH(JURNAL!E166,COA!$B$5:$B$59,0)),"")</f>
        <v>Hpp sole</v>
      </c>
      <c r="G166" s="204"/>
      <c r="H166" s="204">
        <v>1135000</v>
      </c>
      <c r="J166" s="7" t="str">
        <f>IF(E172="","",COUNTIF($E$7:E172,E172)&amp;E172)</f>
        <v>15420</v>
      </c>
    </row>
    <row r="167" spans="2:10" ht="15.75" customHeight="1" x14ac:dyDescent="0.2">
      <c r="B167" s="30" t="s">
        <v>450</v>
      </c>
      <c r="C167" s="198"/>
      <c r="D167" s="203" t="s">
        <v>452</v>
      </c>
      <c r="E167" s="200"/>
      <c r="F167" s="24" t="str">
        <f t="array" ref="F167">IFERROR(INDEX(COA!$C$5:$C$59,MATCH(JURNAL!E167,COA!$B$5:$B$59,0)),"")</f>
        <v/>
      </c>
      <c r="G167" s="204"/>
      <c r="H167" s="204">
        <v>3000000</v>
      </c>
      <c r="J167" s="7" t="str">
        <f>IF(E173="","",COUNTIF($E$7:E173,E173)&amp;E173)</f>
        <v>55200</v>
      </c>
    </row>
    <row r="168" spans="2:10" ht="15.75" customHeight="1" x14ac:dyDescent="0.2">
      <c r="B168" s="30" t="s">
        <v>450</v>
      </c>
      <c r="C168" s="198"/>
      <c r="D168" s="202" t="s">
        <v>351</v>
      </c>
      <c r="E168" s="200"/>
      <c r="F168" s="24" t="str">
        <f t="array" ref="F168">IFERROR(INDEX(COA!$C$5:$C$59,MATCH(JURNAL!E168,COA!$B$5:$B$59,0)),"")</f>
        <v/>
      </c>
      <c r="G168" s="204"/>
      <c r="H168" s="204">
        <v>100000</v>
      </c>
      <c r="J168" s="7" t="str">
        <f>IF(E174="","",COUNTIF($E$7:E174,E174)&amp;E174)</f>
        <v>26040</v>
      </c>
    </row>
    <row r="169" spans="2:10" ht="15.75" customHeight="1" x14ac:dyDescent="0.2">
      <c r="B169" s="30" t="s">
        <v>450</v>
      </c>
      <c r="C169" s="198"/>
      <c r="D169" s="203" t="s">
        <v>446</v>
      </c>
      <c r="E169" s="200">
        <v>5600</v>
      </c>
      <c r="F169" s="24" t="str">
        <f t="array" ref="F169">IFERROR(INDEX(COA!$C$5:$C$59,MATCH(JURNAL!E169,COA!$B$5:$B$59,0)),"")</f>
        <v/>
      </c>
      <c r="G169" s="204"/>
      <c r="H169" s="204">
        <v>5000000</v>
      </c>
      <c r="J169" s="7" t="str">
        <f>IF(E175="","",COUNTIF($E$7:E175,E175)&amp;E175)</f>
        <v>26080</v>
      </c>
    </row>
    <row r="170" spans="2:10" ht="15.75" customHeight="1" x14ac:dyDescent="0.2">
      <c r="B170" s="30" t="s">
        <v>450</v>
      </c>
      <c r="C170" s="198"/>
      <c r="D170" s="202" t="s">
        <v>379</v>
      </c>
      <c r="E170" s="200">
        <v>5450</v>
      </c>
      <c r="F170" s="24" t="str">
        <f t="array" ref="F170">IFERROR(INDEX(COA!$C$5:$C$59,MATCH(JURNAL!E170,COA!$B$5:$B$59,0)),"")</f>
        <v>WA API</v>
      </c>
      <c r="G170" s="204"/>
      <c r="H170" s="204">
        <v>907600</v>
      </c>
      <c r="J170" s="7" t="str">
        <f>IF(E176="","",COUNTIF($E$7:E176,E176)&amp;E176)</f>
        <v>36090</v>
      </c>
    </row>
    <row r="171" spans="2:10" ht="15.75" customHeight="1" x14ac:dyDescent="0.2">
      <c r="B171" s="30" t="s">
        <v>450</v>
      </c>
      <c r="C171" s="198"/>
      <c r="D171" s="202" t="s">
        <v>349</v>
      </c>
      <c r="E171" s="200">
        <v>5440</v>
      </c>
      <c r="F171" s="24" t="str">
        <f t="array" ref="F171">IFERROR(INDEX(COA!$C$5:$C$59,MATCH(JURNAL!E171,COA!$B$5:$B$59,0)),"")</f>
        <v>ADS</v>
      </c>
      <c r="G171" s="204"/>
      <c r="H171" s="204">
        <v>2000000</v>
      </c>
      <c r="J171" s="7" t="str">
        <f>IF(E177="","",COUNTIF($E$7:E177,E177)&amp;E177)</f>
        <v>114110</v>
      </c>
    </row>
    <row r="172" spans="2:10" ht="15.75" customHeight="1" x14ac:dyDescent="0.2">
      <c r="B172" s="30" t="s">
        <v>450</v>
      </c>
      <c r="C172" s="198"/>
      <c r="D172" s="202" t="s">
        <v>453</v>
      </c>
      <c r="E172" s="200">
        <v>5420</v>
      </c>
      <c r="F172" s="24" t="str">
        <f t="array" ref="F172">IFERROR(INDEX(COA!$C$5:$C$59,MATCH(JURNAL!E172,COA!$B$5:$B$59,0)),"")</f>
        <v>anty gravity</v>
      </c>
      <c r="G172" s="204"/>
      <c r="H172" s="204">
        <v>85470</v>
      </c>
      <c r="J172" s="7" t="str">
        <f>IF(E178="","",COUNTIF($E$7:E178,E178)&amp;E178)</f>
        <v>14140</v>
      </c>
    </row>
    <row r="173" spans="2:10" ht="15.75" customHeight="1" x14ac:dyDescent="0.2">
      <c r="B173" s="30" t="s">
        <v>450</v>
      </c>
      <c r="C173" s="198"/>
      <c r="D173" s="202" t="s">
        <v>454</v>
      </c>
      <c r="E173" s="200">
        <v>5200</v>
      </c>
      <c r="F173" s="24" t="str">
        <f t="array" ref="F173">IFERROR(INDEX(COA!$C$5:$C$59,MATCH(JURNAL!E173,COA!$B$5:$B$59,0)),"")</f>
        <v xml:space="preserve">Konsumsi lembur &amp; Meeting </v>
      </c>
      <c r="G173" s="204"/>
      <c r="H173" s="204">
        <v>75000</v>
      </c>
      <c r="J173" s="7" t="str">
        <f>IF(E179="","",COUNTIF($E$7:E179,E179)&amp;E179)</f>
        <v>27010</v>
      </c>
    </row>
    <row r="174" spans="2:10" ht="15.75" customHeight="1" x14ac:dyDescent="0.2">
      <c r="B174" s="30" t="s">
        <v>450</v>
      </c>
      <c r="C174" s="198"/>
      <c r="D174" s="202" t="s">
        <v>455</v>
      </c>
      <c r="E174" s="200">
        <v>6040</v>
      </c>
      <c r="F174" s="24" t="str">
        <f t="array" ref="F174">IFERROR(INDEX(COA!$C$5:$C$59,MATCH(JURNAL!E174,COA!$B$5:$B$59,0)),"")</f>
        <v/>
      </c>
      <c r="G174" s="204"/>
      <c r="H174" s="204">
        <v>50000</v>
      </c>
      <c r="J174" s="7" t="str">
        <f>IF(E180="","",COUNTIF($E$7:E180,E180)&amp;E180)</f>
        <v>65200</v>
      </c>
    </row>
    <row r="175" spans="2:10" ht="15.75" customHeight="1" x14ac:dyDescent="0.2">
      <c r="B175" s="30" t="s">
        <v>450</v>
      </c>
      <c r="C175" s="198"/>
      <c r="D175" s="202" t="s">
        <v>456</v>
      </c>
      <c r="E175" s="200">
        <v>6080</v>
      </c>
      <c r="F175" s="24" t="str">
        <f t="array" ref="F175">IFERROR(INDEX(COA!$C$5:$C$59,MATCH(JURNAL!E175,COA!$B$5:$B$59,0)),"")</f>
        <v/>
      </c>
      <c r="G175" s="204"/>
      <c r="H175" s="204">
        <v>175000</v>
      </c>
      <c r="J175" s="7" t="str">
        <f>IF(E181="","",COUNTIF($E$7:E181,E181)&amp;E181)</f>
        <v/>
      </c>
    </row>
    <row r="176" spans="2:10" ht="15.75" customHeight="1" x14ac:dyDescent="0.2">
      <c r="B176" s="30" t="s">
        <v>450</v>
      </c>
      <c r="C176" s="198"/>
      <c r="D176" s="202" t="s">
        <v>457</v>
      </c>
      <c r="E176" s="200">
        <v>6090</v>
      </c>
      <c r="F176" s="24" t="str">
        <f t="array" ref="F176">IFERROR(INDEX(COA!$C$5:$C$59,MATCH(JURNAL!E176,COA!$B$5:$B$59,0)),"")</f>
        <v/>
      </c>
      <c r="G176" s="204"/>
      <c r="H176" s="204">
        <v>50000</v>
      </c>
      <c r="J176" s="7" t="str">
        <f>IF(E182="","",COUNTIF($E$7:E182,E182)&amp;E182)</f>
        <v>16120</v>
      </c>
    </row>
    <row r="177" spans="2:10" ht="15.75" customHeight="1" x14ac:dyDescent="0.2">
      <c r="B177" s="30" t="s">
        <v>458</v>
      </c>
      <c r="C177" s="24"/>
      <c r="D177" s="201" t="s">
        <v>291</v>
      </c>
      <c r="E177" s="24">
        <v>4110</v>
      </c>
      <c r="F177" s="24" t="str">
        <f t="array" ref="F177">IFERROR(INDEX(COA!$C$5:$C$59,MATCH(JURNAL!E177,COA!$B$5:$B$59,0)),"")</f>
        <v>Pendapatan jasa</v>
      </c>
      <c r="G177" s="204">
        <v>9406383</v>
      </c>
      <c r="H177" s="204"/>
      <c r="J177" s="7" t="str">
        <f>IF(E183="","",COUNTIF($E$7:E183,E183)&amp;E183)</f>
        <v>26120</v>
      </c>
    </row>
    <row r="178" spans="2:10" ht="15.75" customHeight="1" x14ac:dyDescent="0.2">
      <c r="B178" s="30" t="s">
        <v>458</v>
      </c>
      <c r="C178" s="24"/>
      <c r="D178" s="24" t="s">
        <v>459</v>
      </c>
      <c r="E178" s="24">
        <v>4140</v>
      </c>
      <c r="F178" s="24" t="str">
        <f t="array" ref="F178">IFERROR(INDEX(COA!$C$5:$C$59,MATCH(JURNAL!E178,COA!$B$5:$B$59,0)),"")</f>
        <v>pendapatan jasa eiger</v>
      </c>
      <c r="G178" s="204">
        <v>1663000</v>
      </c>
      <c r="H178" s="204"/>
      <c r="J178" s="7" t="str">
        <f>IF(E184="","",COUNTIF($E$7:E184,E184)&amp;E184)</f>
        <v>105440</v>
      </c>
    </row>
    <row r="179" spans="2:10" ht="15.75" customHeight="1" x14ac:dyDescent="0.2">
      <c r="B179" s="30" t="s">
        <v>458</v>
      </c>
      <c r="C179" s="24"/>
      <c r="D179" s="205" t="s">
        <v>231</v>
      </c>
      <c r="E179" s="24">
        <v>7010</v>
      </c>
      <c r="F179" s="24" t="str">
        <f t="array" ref="F179">IFERROR(INDEX(COA!$C$5:$C$59,MATCH(JURNAL!E179,COA!$B$5:$B$59,0)),"")</f>
        <v>pendapatan lain-lain</v>
      </c>
      <c r="G179" s="204">
        <v>109000</v>
      </c>
      <c r="H179" s="204"/>
      <c r="J179" s="7" t="str">
        <f>IF(E185="","",COUNTIF($E$7:E185,E185)&amp;E185)</f>
        <v/>
      </c>
    </row>
    <row r="180" spans="2:10" ht="15.75" customHeight="1" x14ac:dyDescent="0.2">
      <c r="B180" s="30" t="s">
        <v>458</v>
      </c>
      <c r="C180" s="198"/>
      <c r="D180" s="202" t="s">
        <v>460</v>
      </c>
      <c r="E180" s="200">
        <v>5200</v>
      </c>
      <c r="F180" s="24" t="str">
        <f t="array" ref="F180">IFERROR(INDEX(COA!$C$5:$C$59,MATCH(JURNAL!E180,COA!$B$5:$B$59,0)),"")</f>
        <v xml:space="preserve">Konsumsi lembur &amp; Meeting </v>
      </c>
      <c r="G180" s="204"/>
      <c r="H180" s="204">
        <v>74500</v>
      </c>
      <c r="J180" s="7" t="str">
        <f>IF(E186="","",COUNTIF($E$7:E186,E186)&amp;E186)</f>
        <v/>
      </c>
    </row>
    <row r="181" spans="2:10" ht="15.75" customHeight="1" x14ac:dyDescent="0.2">
      <c r="B181" s="30" t="s">
        <v>458</v>
      </c>
      <c r="C181" s="198"/>
      <c r="D181" s="202" t="s">
        <v>461</v>
      </c>
      <c r="E181" s="200"/>
      <c r="F181" s="24" t="str">
        <f t="array" ref="F181">IFERROR(INDEX(COA!$C$5:$C$59,MATCH(JURNAL!E181,COA!$B$5:$B$59,0)),"")</f>
        <v/>
      </c>
      <c r="G181" s="204"/>
      <c r="H181" s="204">
        <v>90000</v>
      </c>
      <c r="J181" s="7" t="str">
        <f>IF(E187="","",COUNTIF($E$7:E187,E187)&amp;E187)</f>
        <v/>
      </c>
    </row>
    <row r="182" spans="2:10" ht="15.75" customHeight="1" x14ac:dyDescent="0.2">
      <c r="B182" s="30" t="s">
        <v>458</v>
      </c>
      <c r="C182" s="198"/>
      <c r="D182" s="202" t="s">
        <v>462</v>
      </c>
      <c r="E182" s="200">
        <v>6120</v>
      </c>
      <c r="F182" s="24" t="str">
        <f t="array" ref="F182">IFERROR(INDEX(COA!$C$5:$C$59,MATCH(JURNAL!E182,COA!$B$5:$B$59,0)),"")</f>
        <v/>
      </c>
      <c r="G182" s="204"/>
      <c r="H182" s="204">
        <v>57500</v>
      </c>
      <c r="J182" s="7" t="str">
        <f>IF(E188="","",COUNTIF($E$7:E188,E188)&amp;E188)</f>
        <v>36040</v>
      </c>
    </row>
    <row r="183" spans="2:10" ht="15.75" customHeight="1" x14ac:dyDescent="0.2">
      <c r="B183" s="30" t="s">
        <v>458</v>
      </c>
      <c r="C183" s="198"/>
      <c r="D183" s="202" t="s">
        <v>463</v>
      </c>
      <c r="E183" s="200">
        <v>6120</v>
      </c>
      <c r="F183" s="24" t="str">
        <f t="array" ref="F183">IFERROR(INDEX(COA!$C$5:$C$59,MATCH(JURNAL!E183,COA!$B$5:$B$59,0)),"")</f>
        <v/>
      </c>
      <c r="G183" s="204"/>
      <c r="H183" s="204">
        <v>135000</v>
      </c>
      <c r="J183" s="7" t="str">
        <f>IF(E189="","",COUNTIF($E$7:E189,E189)&amp;E189)</f>
        <v>15520</v>
      </c>
    </row>
    <row r="184" spans="2:10" ht="15.75" customHeight="1" x14ac:dyDescent="0.2">
      <c r="B184" s="30" t="s">
        <v>458</v>
      </c>
      <c r="C184" s="198"/>
      <c r="D184" s="202" t="s">
        <v>349</v>
      </c>
      <c r="E184" s="200">
        <v>5440</v>
      </c>
      <c r="F184" s="24" t="str">
        <f t="array" ref="F184">IFERROR(INDEX(COA!$C$5:$C$59,MATCH(JURNAL!E184,COA!$B$5:$B$59,0)),"")</f>
        <v>ADS</v>
      </c>
      <c r="G184" s="204"/>
      <c r="H184" s="204">
        <v>2000000</v>
      </c>
      <c r="J184" s="7" t="str">
        <f>IF(E190="","",COUNTIF($E$7:E190,E190)&amp;E190)</f>
        <v>225010</v>
      </c>
    </row>
    <row r="185" spans="2:10" ht="15.75" customHeight="1" x14ac:dyDescent="0.2">
      <c r="B185" s="30" t="s">
        <v>458</v>
      </c>
      <c r="C185" s="198"/>
      <c r="D185" s="202" t="s">
        <v>351</v>
      </c>
      <c r="E185" s="200"/>
      <c r="F185" s="24" t="str">
        <f t="array" ref="F185">IFERROR(INDEX(COA!$C$5:$C$59,MATCH(JURNAL!E185,COA!$B$5:$B$59,0)),"")</f>
        <v/>
      </c>
      <c r="G185" s="204"/>
      <c r="H185" s="204">
        <v>200000</v>
      </c>
      <c r="J185" s="7" t="str">
        <f>IF(E191="","",COUNTIF($E$7:E191,E191)&amp;E191)</f>
        <v>185030</v>
      </c>
    </row>
    <row r="186" spans="2:10" ht="15.75" customHeight="1" x14ac:dyDescent="0.2">
      <c r="B186" s="30" t="s">
        <v>458</v>
      </c>
      <c r="C186" s="198"/>
      <c r="D186" s="202" t="s">
        <v>424</v>
      </c>
      <c r="E186" s="200"/>
      <c r="F186" s="24" t="str">
        <f t="array" ref="F186">IFERROR(INDEX(COA!$C$5:$C$59,MATCH(JURNAL!E186,COA!$B$5:$B$59,0)),"")</f>
        <v/>
      </c>
      <c r="G186" s="204"/>
      <c r="H186" s="204">
        <v>3000000</v>
      </c>
      <c r="J186" s="7" t="str">
        <f>IF(E192="","",COUNTIF($E$7:E192,E192)&amp;E192)</f>
        <v>56000</v>
      </c>
    </row>
    <row r="187" spans="2:10" ht="15.75" customHeight="1" x14ac:dyDescent="0.2">
      <c r="B187" s="30" t="s">
        <v>458</v>
      </c>
      <c r="C187" s="198"/>
      <c r="D187" s="202" t="s">
        <v>351</v>
      </c>
      <c r="E187" s="200"/>
      <c r="F187" s="24" t="str">
        <f t="array" ref="F187">IFERROR(INDEX(COA!$C$5:$C$59,MATCH(JURNAL!E187,COA!$B$5:$B$59,0)),"")</f>
        <v/>
      </c>
      <c r="G187" s="204"/>
      <c r="H187" s="204">
        <v>200000</v>
      </c>
      <c r="J187" s="7" t="str">
        <f>IF(E193="","",COUNTIF($E$7:E193,E193)&amp;E193)</f>
        <v>45020</v>
      </c>
    </row>
    <row r="188" spans="2:10" ht="15.75" customHeight="1" x14ac:dyDescent="0.2">
      <c r="B188" s="30" t="s">
        <v>458</v>
      </c>
      <c r="C188" s="198"/>
      <c r="D188" s="202" t="s">
        <v>455</v>
      </c>
      <c r="E188" s="200">
        <v>6040</v>
      </c>
      <c r="F188" s="24" t="str">
        <f t="array" ref="F188">IFERROR(INDEX(COA!$C$5:$C$59,MATCH(JURNAL!E188,COA!$B$5:$B$59,0)),"")</f>
        <v/>
      </c>
      <c r="G188" s="204"/>
      <c r="H188" s="204">
        <v>50000</v>
      </c>
      <c r="J188" s="7" t="str">
        <f>IF(E194="","",COUNTIF($E$7:E194,E194)&amp;E194)</f>
        <v>235010</v>
      </c>
    </row>
    <row r="189" spans="2:10" ht="15.75" customHeight="1" x14ac:dyDescent="0.2">
      <c r="B189" s="30" t="s">
        <v>458</v>
      </c>
      <c r="C189" s="207"/>
      <c r="D189" s="202" t="s">
        <v>464</v>
      </c>
      <c r="E189" s="209">
        <v>5520</v>
      </c>
      <c r="F189" s="33" t="str">
        <f t="array" ref="F189">IFERROR(INDEX(COA!$C$5:$C$59,MATCH(JURNAL!E189,COA!$B$5:$B$59,0)),"")</f>
        <v>Beban Listrik sortir</v>
      </c>
      <c r="G189" s="204"/>
      <c r="H189" s="204">
        <v>203450</v>
      </c>
      <c r="J189" s="7" t="str">
        <f>IF(E195="","",COUNTIF($E$7:E195,E195)&amp;E195)</f>
        <v>245010</v>
      </c>
    </row>
    <row r="190" spans="2:10" ht="15.75" customHeight="1" x14ac:dyDescent="0.2">
      <c r="B190" s="30" t="s">
        <v>458</v>
      </c>
      <c r="C190" s="198"/>
      <c r="D190" s="202" t="s">
        <v>465</v>
      </c>
      <c r="E190" s="200">
        <v>5010</v>
      </c>
      <c r="F190" s="24" t="str">
        <f t="array" ref="F190">IFERROR(INDEX(COA!$C$5:$C$59,MATCH(JURNAL!E190,COA!$B$5:$B$59,0)),"")</f>
        <v>Hpp sole</v>
      </c>
      <c r="G190" s="204"/>
      <c r="H190" s="204">
        <v>430000</v>
      </c>
      <c r="J190" s="7" t="str">
        <f>IF(E196="","",COUNTIF($E$7:E196,E196)&amp;E196)</f>
        <v>255010</v>
      </c>
    </row>
    <row r="191" spans="2:10" ht="15.75" customHeight="1" x14ac:dyDescent="0.2">
      <c r="B191" s="30" t="s">
        <v>458</v>
      </c>
      <c r="C191" s="198"/>
      <c r="D191" s="202" t="s">
        <v>466</v>
      </c>
      <c r="E191" s="200">
        <v>5030</v>
      </c>
      <c r="F191" s="24" t="str">
        <f t="array" ref="F191">IFERROR(INDEX(COA!$C$5:$C$59,MATCH(JURNAL!E191,COA!$B$5:$B$59,0)),"")</f>
        <v>Hpp reguler</v>
      </c>
      <c r="G191" s="204"/>
      <c r="H191" s="204">
        <v>32500</v>
      </c>
      <c r="J191" s="7" t="str">
        <f>IF(E197="","",COUNTIF($E$7:E197,E197)&amp;E197)</f>
        <v>66000</v>
      </c>
    </row>
    <row r="192" spans="2:10" ht="15.75" customHeight="1" x14ac:dyDescent="0.2">
      <c r="B192" s="30" t="s">
        <v>458</v>
      </c>
      <c r="C192" s="198"/>
      <c r="D192" s="202" t="s">
        <v>467</v>
      </c>
      <c r="E192" s="200">
        <v>6000</v>
      </c>
      <c r="F192" s="24" t="str">
        <f t="array" ref="F192">IFERROR(INDEX(COA!$C$5:$C$59,MATCH(JURNAL!E192,COA!$B$5:$B$59,0)),"")</f>
        <v/>
      </c>
      <c r="G192" s="204"/>
      <c r="H192" s="204">
        <v>20000</v>
      </c>
      <c r="J192" s="7" t="str">
        <f>IF(E198="","",COUNTIF($E$7:E198,E198)&amp;E198)</f>
        <v>265010</v>
      </c>
    </row>
    <row r="193" spans="2:10" ht="15.75" customHeight="1" x14ac:dyDescent="0.2">
      <c r="B193" s="30" t="s">
        <v>458</v>
      </c>
      <c r="C193" s="198"/>
      <c r="D193" s="202" t="s">
        <v>468</v>
      </c>
      <c r="E193" s="200">
        <v>5020</v>
      </c>
      <c r="F193" s="24" t="str">
        <f t="array" ref="F193">IFERROR(INDEX(COA!$C$5:$C$59,MATCH(JURNAL!E193,COA!$B$5:$B$59,0)),"")</f>
        <v>Hpp upper</v>
      </c>
      <c r="G193" s="204"/>
      <c r="H193" s="204">
        <v>13393</v>
      </c>
      <c r="J193" s="7" t="str">
        <f>IF(E199="","",COUNTIF($E$7:E199,E199)&amp;E199)</f>
        <v>275010</v>
      </c>
    </row>
    <row r="194" spans="2:10" ht="15.75" customHeight="1" x14ac:dyDescent="0.2">
      <c r="B194" s="30" t="s">
        <v>458</v>
      </c>
      <c r="C194" s="198"/>
      <c r="D194" s="202" t="s">
        <v>469</v>
      </c>
      <c r="E194" s="200">
        <v>5010</v>
      </c>
      <c r="F194" s="24" t="str">
        <f t="array" ref="F194">IFERROR(INDEX(COA!$C$5:$C$59,MATCH(JURNAL!E194,COA!$B$5:$B$59,0)),"")</f>
        <v>Hpp sole</v>
      </c>
      <c r="G194" s="204"/>
      <c r="H194" s="204">
        <v>168537</v>
      </c>
      <c r="J194" s="7" t="str">
        <f>IF(E200="","",COUNTIF($E$7:E200,E200)&amp;E200)</f>
        <v>285010</v>
      </c>
    </row>
    <row r="195" spans="2:10" ht="15.75" customHeight="1" x14ac:dyDescent="0.2">
      <c r="B195" s="30" t="s">
        <v>458</v>
      </c>
      <c r="C195" s="198"/>
      <c r="D195" s="202" t="s">
        <v>335</v>
      </c>
      <c r="E195" s="200">
        <v>5010</v>
      </c>
      <c r="F195" s="24" t="str">
        <f t="array" ref="F195">IFERROR(INDEX(COA!$C$5:$C$59,MATCH(JURNAL!E195,COA!$B$5:$B$59,0)),"")</f>
        <v>Hpp sole</v>
      </c>
      <c r="G195" s="204"/>
      <c r="H195" s="204">
        <v>69000</v>
      </c>
      <c r="J195" s="7" t="str">
        <f>IF(E201="","",COUNTIF($E$7:E201,E201)&amp;E201)</f>
        <v>295010</v>
      </c>
    </row>
    <row r="196" spans="2:10" ht="15.75" customHeight="1" x14ac:dyDescent="0.2">
      <c r="B196" s="30" t="s">
        <v>458</v>
      </c>
      <c r="C196" s="198"/>
      <c r="D196" s="202" t="s">
        <v>465</v>
      </c>
      <c r="E196" s="200">
        <v>5010</v>
      </c>
      <c r="F196" s="24" t="str">
        <f t="array" ref="F196">IFERROR(INDEX(COA!$C$5:$C$59,MATCH(JURNAL!E196,COA!$B$5:$B$59,0)),"")</f>
        <v>Hpp sole</v>
      </c>
      <c r="G196" s="204"/>
      <c r="H196" s="204">
        <v>430000</v>
      </c>
      <c r="J196" s="7" t="str">
        <f t="shared" ref="J196:J199" si="1">IF(E204="","",COUNTIF($E$7:E204,E204)&amp;E204)</f>
        <v>325010</v>
      </c>
    </row>
    <row r="197" spans="2:10" ht="15.75" customHeight="1" x14ac:dyDescent="0.2">
      <c r="B197" s="30" t="s">
        <v>458</v>
      </c>
      <c r="C197" s="198"/>
      <c r="D197" s="202" t="s">
        <v>467</v>
      </c>
      <c r="E197" s="200">
        <v>6000</v>
      </c>
      <c r="F197" s="24" t="str">
        <f t="array" ref="F197">IFERROR(INDEX(COA!$C$5:$C$59,MATCH(JURNAL!E197,COA!$B$5:$B$59,0)),"")</f>
        <v/>
      </c>
      <c r="G197" s="204"/>
      <c r="H197" s="204">
        <v>20000</v>
      </c>
      <c r="J197" s="7" t="str">
        <f t="shared" si="1"/>
        <v>37010</v>
      </c>
    </row>
    <row r="198" spans="2:10" ht="15.75" customHeight="1" x14ac:dyDescent="0.2">
      <c r="B198" s="30" t="s">
        <v>458</v>
      </c>
      <c r="C198" s="198"/>
      <c r="D198" s="202" t="s">
        <v>337</v>
      </c>
      <c r="E198" s="200">
        <v>5010</v>
      </c>
      <c r="F198" s="24" t="str">
        <f t="array" ref="F198">IFERROR(INDEX(COA!$C$5:$C$59,MATCH(JURNAL!E198,COA!$B$5:$B$59,0)),"")</f>
        <v>Hpp sole</v>
      </c>
      <c r="G198" s="204"/>
      <c r="H198" s="204">
        <v>128000</v>
      </c>
      <c r="J198" s="7" t="str">
        <f t="shared" si="1"/>
        <v>124110</v>
      </c>
    </row>
    <row r="199" spans="2:10" ht="15.75" customHeight="1" x14ac:dyDescent="0.2">
      <c r="B199" s="30" t="s">
        <v>458</v>
      </c>
      <c r="C199" s="198"/>
      <c r="D199" s="202" t="s">
        <v>336</v>
      </c>
      <c r="E199" s="200">
        <v>5010</v>
      </c>
      <c r="F199" s="24" t="str">
        <f t="array" ref="F199">IFERROR(INDEX(COA!$C$5:$C$59,MATCH(JURNAL!E199,COA!$B$5:$B$59,0)),"")</f>
        <v>Hpp sole</v>
      </c>
      <c r="G199" s="204"/>
      <c r="H199" s="204">
        <v>107500</v>
      </c>
      <c r="J199" s="7" t="str">
        <f t="shared" si="1"/>
        <v>75200</v>
      </c>
    </row>
    <row r="200" spans="2:10" ht="15.75" customHeight="1" x14ac:dyDescent="0.2">
      <c r="B200" s="30" t="s">
        <v>458</v>
      </c>
      <c r="C200" s="198"/>
      <c r="D200" s="202" t="s">
        <v>470</v>
      </c>
      <c r="E200" s="200">
        <v>5010</v>
      </c>
      <c r="F200" s="24" t="str">
        <f t="array" ref="F200">IFERROR(INDEX(COA!$C$5:$C$59,MATCH(JURNAL!E200,COA!$B$5:$B$59,0)),"")</f>
        <v>Hpp sole</v>
      </c>
      <c r="G200" s="204"/>
      <c r="H200" s="204">
        <v>210339</v>
      </c>
    </row>
    <row r="201" spans="2:10" ht="15.75" customHeight="1" x14ac:dyDescent="0.2">
      <c r="B201" s="30" t="s">
        <v>458</v>
      </c>
      <c r="C201" s="198"/>
      <c r="D201" s="202" t="s">
        <v>471</v>
      </c>
      <c r="E201" s="200">
        <v>5010</v>
      </c>
      <c r="F201" s="24" t="str">
        <f t="array" ref="F201">IFERROR(INDEX(COA!$C$5:$C$59,MATCH(JURNAL!E201,COA!$B$5:$B$59,0)),"")</f>
        <v>Hpp sole</v>
      </c>
      <c r="G201" s="204"/>
      <c r="H201" s="204">
        <v>50194</v>
      </c>
    </row>
    <row r="202" spans="2:10" ht="15.75" customHeight="1" x14ac:dyDescent="0.2">
      <c r="B202" s="30" t="s">
        <v>458</v>
      </c>
      <c r="C202" s="198"/>
      <c r="D202" s="202" t="s">
        <v>472</v>
      </c>
      <c r="E202" s="200">
        <v>5010</v>
      </c>
      <c r="F202" s="24" t="str">
        <f t="array" ref="F202">IFERROR(INDEX(COA!$C$5:$C$59,MATCH(JURNAL!E202,COA!$B$5:$B$59,0)),"")</f>
        <v>Hpp sole</v>
      </c>
      <c r="G202" s="204"/>
      <c r="H202" s="204">
        <v>44783</v>
      </c>
    </row>
    <row r="203" spans="2:10" ht="15.75" customHeight="1" x14ac:dyDescent="0.2">
      <c r="B203" s="30" t="s">
        <v>458</v>
      </c>
      <c r="C203" s="198"/>
      <c r="D203" s="202" t="s">
        <v>473</v>
      </c>
      <c r="E203" s="200">
        <v>5010</v>
      </c>
      <c r="F203" s="24" t="str">
        <f t="array" ref="F203">IFERROR(INDEX(COA!$C$5:$C$59,MATCH(JURNAL!E203,COA!$B$5:$B$59,0)),"")</f>
        <v>Hpp sole</v>
      </c>
      <c r="G203" s="204"/>
      <c r="H203" s="204">
        <v>40659</v>
      </c>
    </row>
    <row r="204" spans="2:10" ht="15.75" customHeight="1" x14ac:dyDescent="0.2">
      <c r="B204" s="30" t="s">
        <v>458</v>
      </c>
      <c r="C204" s="198"/>
      <c r="D204" s="202" t="s">
        <v>474</v>
      </c>
      <c r="E204" s="200">
        <v>5010</v>
      </c>
      <c r="F204" s="24" t="str">
        <f t="array" ref="F204">IFERROR(INDEX(COA!$C$5:$C$59,MATCH(JURNAL!E204,COA!$B$5:$B$59,0)),"")</f>
        <v>Hpp sole</v>
      </c>
      <c r="G204" s="204"/>
      <c r="H204" s="204">
        <v>69700</v>
      </c>
    </row>
    <row r="205" spans="2:10" ht="15.75" customHeight="1" x14ac:dyDescent="0.2">
      <c r="B205" s="30" t="s">
        <v>475</v>
      </c>
      <c r="C205" s="24"/>
      <c r="D205" s="201" t="s">
        <v>231</v>
      </c>
      <c r="E205" s="24">
        <v>7010</v>
      </c>
      <c r="F205" s="24" t="str">
        <f t="array" ref="F205">IFERROR(INDEX(COA!$C$5:$C$59,MATCH(JURNAL!E205,COA!$B$5:$B$59,0)),"")</f>
        <v>pendapatan lain-lain</v>
      </c>
      <c r="G205" s="204">
        <v>40000</v>
      </c>
      <c r="H205" s="204"/>
    </row>
    <row r="206" spans="2:10" ht="15.75" customHeight="1" x14ac:dyDescent="0.2">
      <c r="B206" s="30" t="s">
        <v>475</v>
      </c>
      <c r="C206" s="24"/>
      <c r="D206" s="205" t="s">
        <v>291</v>
      </c>
      <c r="E206" s="24">
        <v>4110</v>
      </c>
      <c r="F206" s="24" t="str">
        <f t="array" ref="F206">IFERROR(INDEX(COA!$C$5:$C$59,MATCH(JURNAL!E206,COA!$B$5:$B$59,0)),"")</f>
        <v>Pendapatan jasa</v>
      </c>
      <c r="G206" s="204">
        <v>9542493</v>
      </c>
      <c r="H206" s="204"/>
    </row>
    <row r="207" spans="2:10" ht="15.75" customHeight="1" x14ac:dyDescent="0.2">
      <c r="B207" s="30" t="s">
        <v>475</v>
      </c>
      <c r="C207" s="198"/>
      <c r="D207" s="202" t="s">
        <v>476</v>
      </c>
      <c r="E207" s="200">
        <v>5200</v>
      </c>
      <c r="F207" s="24" t="str">
        <f t="array" ref="F207">IFERROR(INDEX(COA!$C$5:$C$59,MATCH(JURNAL!E207,COA!$B$5:$B$59,0)),"")</f>
        <v xml:space="preserve">Konsumsi lembur &amp; Meeting </v>
      </c>
      <c r="G207" s="204"/>
      <c r="H207" s="204">
        <v>90000</v>
      </c>
    </row>
    <row r="208" spans="2:10" ht="15.75" customHeight="1" x14ac:dyDescent="0.2">
      <c r="B208" s="30" t="s">
        <v>475</v>
      </c>
      <c r="C208" s="198"/>
      <c r="D208" s="202" t="s">
        <v>477</v>
      </c>
      <c r="E208" s="200">
        <v>5108</v>
      </c>
      <c r="F208" s="24" t="str">
        <f t="array" ref="F208">IFERROR(INDEX(COA!$C$5:$C$59,MATCH(JURNAL!E208,COA!$B$5:$B$59,0)),"")</f>
        <v>Beban gaji tukang</v>
      </c>
      <c r="G208" s="204"/>
      <c r="H208" s="204">
        <v>533333</v>
      </c>
    </row>
    <row r="209" spans="2:8" ht="15.75" customHeight="1" x14ac:dyDescent="0.2">
      <c r="B209" s="30" t="s">
        <v>475</v>
      </c>
      <c r="C209" s="198"/>
      <c r="D209" s="202" t="s">
        <v>478</v>
      </c>
      <c r="E209" s="200">
        <v>5108</v>
      </c>
      <c r="F209" s="24" t="str">
        <f t="array" ref="F209">IFERROR(INDEX(COA!$C$5:$C$59,MATCH(JURNAL!E209,COA!$B$5:$B$59,0)),"")</f>
        <v>Beban gaji tukang</v>
      </c>
      <c r="G209" s="204"/>
      <c r="H209" s="204">
        <v>518667</v>
      </c>
    </row>
    <row r="210" spans="2:8" ht="15.75" customHeight="1" x14ac:dyDescent="0.2">
      <c r="B210" s="30" t="s">
        <v>475</v>
      </c>
      <c r="C210" s="198"/>
      <c r="D210" s="202" t="s">
        <v>479</v>
      </c>
      <c r="E210" s="200">
        <v>5108</v>
      </c>
      <c r="F210" s="24" t="str">
        <f t="array" ref="F210">IFERROR(INDEX(COA!$C$5:$C$59,MATCH(JURNAL!E210,COA!$B$5:$B$59,0)),"")</f>
        <v>Beban gaji tukang</v>
      </c>
      <c r="G210" s="204"/>
      <c r="H210" s="204">
        <v>481333</v>
      </c>
    </row>
    <row r="211" spans="2:8" ht="15.75" customHeight="1" x14ac:dyDescent="0.2">
      <c r="B211" s="30" t="s">
        <v>475</v>
      </c>
      <c r="C211" s="198"/>
      <c r="D211" s="202" t="s">
        <v>480</v>
      </c>
      <c r="E211" s="200">
        <v>5108</v>
      </c>
      <c r="F211" s="24" t="str">
        <f t="array" ref="F211">IFERROR(INDEX(COA!$C$5:$C$59,MATCH(JURNAL!E211,COA!$B$5:$B$59,0)),"")</f>
        <v>Beban gaji tukang</v>
      </c>
      <c r="G211" s="204"/>
      <c r="H211" s="204">
        <v>652000</v>
      </c>
    </row>
    <row r="212" spans="2:8" ht="15.75" customHeight="1" x14ac:dyDescent="0.2">
      <c r="B212" s="30" t="s">
        <v>475</v>
      </c>
      <c r="C212" s="198"/>
      <c r="D212" s="202" t="s">
        <v>481</v>
      </c>
      <c r="E212" s="200">
        <v>5108</v>
      </c>
      <c r="F212" s="24" t="str">
        <f t="array" ref="F212">IFERROR(INDEX(COA!$C$5:$C$59,MATCH(JURNAL!E212,COA!$B$5:$B$59,0)),"")</f>
        <v>Beban gaji tukang</v>
      </c>
      <c r="G212" s="204"/>
      <c r="H212" s="204">
        <v>600000</v>
      </c>
    </row>
    <row r="213" spans="2:8" ht="15.75" customHeight="1" x14ac:dyDescent="0.2">
      <c r="B213" s="30" t="s">
        <v>475</v>
      </c>
      <c r="C213" s="198"/>
      <c r="D213" s="202" t="s">
        <v>482</v>
      </c>
      <c r="E213" s="200">
        <v>5108</v>
      </c>
      <c r="F213" s="24" t="str">
        <f t="array" ref="F213">IFERROR(INDEX(COA!$C$5:$C$59,MATCH(JURNAL!E213,COA!$B$5:$B$59,0)),"")</f>
        <v>Beban gaji tukang</v>
      </c>
      <c r="G213" s="204"/>
      <c r="H213" s="204">
        <v>500000</v>
      </c>
    </row>
    <row r="214" spans="2:8" ht="15.75" customHeight="1" x14ac:dyDescent="0.2">
      <c r="B214" s="30" t="s">
        <v>475</v>
      </c>
      <c r="C214" s="198"/>
      <c r="D214" s="202" t="s">
        <v>483</v>
      </c>
      <c r="E214" s="200">
        <v>5108</v>
      </c>
      <c r="F214" s="24" t="str">
        <f t="array" ref="F214">IFERROR(INDEX(COA!$C$5:$C$59,MATCH(JURNAL!E214,COA!$B$5:$B$59,0)),"")</f>
        <v>Beban gaji tukang</v>
      </c>
      <c r="G214" s="204"/>
      <c r="H214" s="204">
        <v>400000</v>
      </c>
    </row>
    <row r="215" spans="2:8" ht="15.75" customHeight="1" x14ac:dyDescent="0.2">
      <c r="B215" s="30" t="s">
        <v>475</v>
      </c>
      <c r="C215" s="198"/>
      <c r="D215" s="202" t="s">
        <v>484</v>
      </c>
      <c r="E215" s="200">
        <v>5108</v>
      </c>
      <c r="F215" s="24" t="str">
        <f t="array" ref="F215">IFERROR(INDEX(COA!$C$5:$C$59,MATCH(JURNAL!E215,COA!$B$5:$B$59,0)),"")</f>
        <v>Beban gaji tukang</v>
      </c>
      <c r="G215" s="204"/>
      <c r="H215" s="204">
        <v>416667</v>
      </c>
    </row>
    <row r="216" spans="2:8" ht="15.75" customHeight="1" x14ac:dyDescent="0.2">
      <c r="B216" s="30" t="s">
        <v>475</v>
      </c>
      <c r="C216" s="198"/>
      <c r="D216" s="202" t="s">
        <v>485</v>
      </c>
      <c r="E216" s="200">
        <v>5108</v>
      </c>
      <c r="F216" s="24" t="str">
        <f t="array" ref="F216">IFERROR(INDEX(COA!$C$5:$C$59,MATCH(JURNAL!E216,COA!$B$5:$B$59,0)),"")</f>
        <v>Beban gaji tukang</v>
      </c>
      <c r="G216" s="204"/>
      <c r="H216" s="204">
        <v>370000</v>
      </c>
    </row>
    <row r="217" spans="2:8" ht="15.75" customHeight="1" x14ac:dyDescent="0.2">
      <c r="B217" s="30" t="s">
        <v>475</v>
      </c>
      <c r="C217" s="198"/>
      <c r="D217" s="202" t="s">
        <v>486</v>
      </c>
      <c r="E217" s="200">
        <v>5108</v>
      </c>
      <c r="F217" s="24" t="str">
        <f t="array" ref="F217">IFERROR(INDEX(COA!$C$5:$C$59,MATCH(JURNAL!E217,COA!$B$5:$B$59,0)),"")</f>
        <v>Beban gaji tukang</v>
      </c>
      <c r="G217" s="204"/>
      <c r="H217" s="204">
        <v>500000</v>
      </c>
    </row>
    <row r="218" spans="2:8" ht="15.75" customHeight="1" x14ac:dyDescent="0.2">
      <c r="B218" s="30" t="s">
        <v>475</v>
      </c>
      <c r="C218" s="198"/>
      <c r="D218" s="202" t="s">
        <v>487</v>
      </c>
      <c r="E218" s="200">
        <v>5108</v>
      </c>
      <c r="F218" s="24" t="str">
        <f t="array" ref="F218">IFERROR(INDEX(COA!$C$5:$C$59,MATCH(JURNAL!E218,COA!$B$5:$B$59,0)),"")</f>
        <v>Beban gaji tukang</v>
      </c>
      <c r="G218" s="204"/>
      <c r="H218" s="204">
        <v>500000</v>
      </c>
    </row>
    <row r="219" spans="2:8" ht="15.75" customHeight="1" x14ac:dyDescent="0.2">
      <c r="B219" s="30" t="s">
        <v>475</v>
      </c>
      <c r="C219" s="198"/>
      <c r="D219" s="202" t="s">
        <v>488</v>
      </c>
      <c r="E219" s="200">
        <v>5108</v>
      </c>
      <c r="F219" s="24" t="str">
        <f t="array" ref="F219">IFERROR(INDEX(COA!$C$5:$C$59,MATCH(JURNAL!E219,COA!$B$5:$B$59,0)),"")</f>
        <v>Beban gaji tukang</v>
      </c>
      <c r="G219" s="204"/>
      <c r="H219" s="204">
        <v>416667</v>
      </c>
    </row>
    <row r="220" spans="2:8" ht="15.75" customHeight="1" x14ac:dyDescent="0.2">
      <c r="B220" s="30" t="s">
        <v>475</v>
      </c>
      <c r="C220" s="198"/>
      <c r="D220" s="202" t="s">
        <v>489</v>
      </c>
      <c r="E220" s="200">
        <v>5108</v>
      </c>
      <c r="F220" s="24" t="str">
        <f t="array" ref="F220">IFERROR(INDEX(COA!$C$5:$C$59,MATCH(JURNAL!E220,COA!$B$5:$B$59,0)),"")</f>
        <v>Beban gaji tukang</v>
      </c>
      <c r="G220" s="204"/>
      <c r="H220" s="204">
        <v>500000</v>
      </c>
    </row>
    <row r="221" spans="2:8" ht="15.75" customHeight="1" x14ac:dyDescent="0.2">
      <c r="B221" s="30" t="s">
        <v>475</v>
      </c>
      <c r="C221" s="198"/>
      <c r="D221" s="202" t="s">
        <v>490</v>
      </c>
      <c r="E221" s="200">
        <v>5108</v>
      </c>
      <c r="F221" s="24" t="str">
        <f t="array" ref="F221">IFERROR(INDEX(COA!$C$5:$C$59,MATCH(JURNAL!E221,COA!$B$5:$B$59,0)),"")</f>
        <v>Beban gaji tukang</v>
      </c>
      <c r="G221" s="204"/>
      <c r="H221" s="204">
        <v>333333</v>
      </c>
    </row>
    <row r="222" spans="2:8" ht="15.75" customHeight="1" x14ac:dyDescent="0.2">
      <c r="B222" s="30" t="s">
        <v>475</v>
      </c>
      <c r="C222" s="198"/>
      <c r="D222" s="202" t="s">
        <v>491</v>
      </c>
      <c r="E222" s="200">
        <v>5108</v>
      </c>
      <c r="F222" s="24" t="str">
        <f t="array" ref="F222">IFERROR(INDEX(COA!$C$5:$C$59,MATCH(JURNAL!E222,COA!$B$5:$B$59,0)),"")</f>
        <v>Beban gaji tukang</v>
      </c>
      <c r="G222" s="204"/>
      <c r="H222" s="204">
        <v>300000</v>
      </c>
    </row>
    <row r="223" spans="2:8" ht="15.75" customHeight="1" x14ac:dyDescent="0.2">
      <c r="B223" s="30" t="s">
        <v>475</v>
      </c>
      <c r="C223" s="198"/>
      <c r="D223" s="202" t="s">
        <v>492</v>
      </c>
      <c r="E223" s="200">
        <v>5102</v>
      </c>
      <c r="F223" s="24" t="str">
        <f t="array" ref="F223">IFERROR(INDEX(COA!$C$5:$C$59,MATCH(JURNAL!E223,COA!$B$5:$B$59,0)),"")</f>
        <v>Beban Gaji Workshop</v>
      </c>
      <c r="G223" s="204"/>
      <c r="H223" s="204">
        <v>500000</v>
      </c>
    </row>
    <row r="224" spans="2:8" ht="15.75" customHeight="1" x14ac:dyDescent="0.2">
      <c r="B224" s="30" t="s">
        <v>475</v>
      </c>
      <c r="C224" s="198"/>
      <c r="D224" s="202" t="s">
        <v>493</v>
      </c>
      <c r="E224" s="200">
        <v>5107</v>
      </c>
      <c r="F224" s="24" t="str">
        <f t="array" ref="F224">IFERROR(INDEX(COA!$C$5:$C$59,MATCH(JURNAL!E224,COA!$B$5:$B$59,0)),"")</f>
        <v>Beban Gaji Gudang</v>
      </c>
      <c r="G224" s="204"/>
      <c r="H224" s="204">
        <v>583333</v>
      </c>
    </row>
    <row r="225" spans="2:8" ht="15.75" customHeight="1" x14ac:dyDescent="0.2">
      <c r="B225" s="30" t="s">
        <v>475</v>
      </c>
      <c r="C225" s="198"/>
      <c r="D225" s="202" t="s">
        <v>494</v>
      </c>
      <c r="E225" s="200">
        <v>5200</v>
      </c>
      <c r="F225" s="24" t="str">
        <f t="array" ref="F225">IFERROR(INDEX(COA!$C$5:$C$59,MATCH(JURNAL!E225,COA!$B$5:$B$59,0)),"")</f>
        <v xml:space="preserve">Konsumsi lembur &amp; Meeting </v>
      </c>
      <c r="G225" s="204"/>
      <c r="H225" s="204">
        <v>75000</v>
      </c>
    </row>
    <row r="226" spans="2:8" ht="15.75" customHeight="1" x14ac:dyDescent="0.2">
      <c r="B226" s="30" t="s">
        <v>475</v>
      </c>
      <c r="C226" s="198"/>
      <c r="D226" s="202" t="s">
        <v>349</v>
      </c>
      <c r="E226" s="200">
        <v>5440</v>
      </c>
      <c r="F226" s="24" t="str">
        <f t="array" ref="F226">IFERROR(INDEX(COA!$C$5:$C$59,MATCH(JURNAL!E226,COA!$B$5:$B$59,0)),"")</f>
        <v>ADS</v>
      </c>
      <c r="G226" s="204"/>
      <c r="H226" s="204">
        <v>3000000</v>
      </c>
    </row>
    <row r="227" spans="2:8" ht="15.75" customHeight="1" x14ac:dyDescent="0.2">
      <c r="B227" s="30" t="s">
        <v>475</v>
      </c>
      <c r="C227" s="198"/>
      <c r="D227" s="202" t="s">
        <v>379</v>
      </c>
      <c r="E227" s="200">
        <v>5450</v>
      </c>
      <c r="F227" s="24" t="str">
        <f t="array" ref="F227">IFERROR(INDEX(COA!$C$5:$C$59,MATCH(JURNAL!E227,COA!$B$5:$B$59,0)),"")</f>
        <v>WA API</v>
      </c>
      <c r="G227" s="204"/>
      <c r="H227" s="204">
        <v>907600</v>
      </c>
    </row>
    <row r="228" spans="2:8" ht="15.75" customHeight="1" x14ac:dyDescent="0.2">
      <c r="B228" s="30" t="s">
        <v>475</v>
      </c>
      <c r="C228" s="198"/>
      <c r="D228" s="202" t="s">
        <v>351</v>
      </c>
      <c r="E228" s="200"/>
      <c r="F228" s="24" t="str">
        <f t="array" ref="F228">IFERROR(INDEX(COA!$C$5:$C$59,MATCH(JURNAL!E228,COA!$B$5:$B$59,0)),"")</f>
        <v/>
      </c>
      <c r="G228" s="204"/>
      <c r="H228" s="204">
        <v>101000</v>
      </c>
    </row>
    <row r="229" spans="2:8" ht="15.75" customHeight="1" x14ac:dyDescent="0.2">
      <c r="B229" s="30" t="s">
        <v>475</v>
      </c>
      <c r="C229" s="198"/>
      <c r="D229" s="202" t="s">
        <v>351</v>
      </c>
      <c r="E229" s="200"/>
      <c r="F229" s="24" t="str">
        <f t="array" ref="F229">IFERROR(INDEX(COA!$C$5:$C$59,MATCH(JURNAL!E229,COA!$B$5:$B$59,0)),"")</f>
        <v/>
      </c>
      <c r="G229" s="204"/>
      <c r="H229" s="204">
        <v>100000</v>
      </c>
    </row>
    <row r="230" spans="2:8" ht="15.75" customHeight="1" x14ac:dyDescent="0.2">
      <c r="B230" s="30" t="s">
        <v>495</v>
      </c>
      <c r="C230" s="24"/>
      <c r="D230" s="61" t="s">
        <v>291</v>
      </c>
      <c r="E230" s="24">
        <v>4110</v>
      </c>
      <c r="F230" s="24" t="str">
        <f t="array" ref="F230">IFERROR(INDEX(COA!$C$5:$C$59,MATCH(JURNAL!E230,COA!$B$5:$B$59,0)),"")</f>
        <v>Pendapatan jasa</v>
      </c>
      <c r="G230" s="204">
        <v>3696079</v>
      </c>
      <c r="H230" s="204"/>
    </row>
    <row r="231" spans="2:8" ht="15.75" customHeight="1" x14ac:dyDescent="0.2">
      <c r="B231" s="30" t="s">
        <v>495</v>
      </c>
      <c r="C231" s="198"/>
      <c r="D231" s="202" t="s">
        <v>351</v>
      </c>
      <c r="E231" s="200"/>
      <c r="F231" s="24" t="str">
        <f t="array" ref="F231">IFERROR(INDEX(COA!$C$5:$C$59,MATCH(JURNAL!E231,COA!$B$5:$B$59,0)),"")</f>
        <v/>
      </c>
      <c r="G231" s="204"/>
      <c r="H231" s="204">
        <v>200000</v>
      </c>
    </row>
    <row r="232" spans="2:8" ht="15.75" customHeight="1" x14ac:dyDescent="0.2">
      <c r="B232" s="30" t="s">
        <v>495</v>
      </c>
      <c r="C232" s="198"/>
      <c r="D232" s="202" t="s">
        <v>496</v>
      </c>
      <c r="E232" s="200">
        <v>5108</v>
      </c>
      <c r="F232" s="24" t="str">
        <f t="array" ref="F232">IFERROR(INDEX(COA!$C$5:$C$59,MATCH(JURNAL!E232,COA!$B$5:$B$59,0)),"")</f>
        <v>Beban gaji tukang</v>
      </c>
      <c r="G232" s="204"/>
      <c r="H232" s="204">
        <v>902000</v>
      </c>
    </row>
    <row r="233" spans="2:8" ht="15.75" customHeight="1" x14ac:dyDescent="0.2">
      <c r="B233" s="30" t="s">
        <v>495</v>
      </c>
      <c r="C233" s="198"/>
      <c r="D233" s="202" t="s">
        <v>497</v>
      </c>
      <c r="E233" s="200">
        <v>5108</v>
      </c>
      <c r="F233" s="24" t="str">
        <f t="array" ref="F233">IFERROR(INDEX(COA!$C$5:$C$59,MATCH(JURNAL!E233,COA!$B$5:$B$59,0)),"")</f>
        <v>Beban gaji tukang</v>
      </c>
      <c r="G233" s="204"/>
      <c r="H233" s="204">
        <v>302000</v>
      </c>
    </row>
    <row r="234" spans="2:8" ht="15.75" customHeight="1" x14ac:dyDescent="0.2">
      <c r="B234" s="30" t="s">
        <v>495</v>
      </c>
      <c r="C234" s="198"/>
      <c r="D234" s="202" t="s">
        <v>498</v>
      </c>
      <c r="E234" s="200">
        <v>5108</v>
      </c>
      <c r="F234" s="24" t="str">
        <f t="array" ref="F234">IFERROR(INDEX(COA!$C$5:$C$59,MATCH(JURNAL!E234,COA!$B$5:$B$59,0)),"")</f>
        <v>Beban gaji tukang</v>
      </c>
      <c r="G234" s="204"/>
      <c r="H234" s="204">
        <v>291000</v>
      </c>
    </row>
    <row r="235" spans="2:8" ht="15.75" customHeight="1" x14ac:dyDescent="0.2">
      <c r="B235" s="30" t="s">
        <v>495</v>
      </c>
      <c r="C235" s="198"/>
      <c r="D235" s="202" t="s">
        <v>499</v>
      </c>
      <c r="E235" s="200">
        <v>5108</v>
      </c>
      <c r="F235" s="24" t="str">
        <f t="array" ref="F235">IFERROR(INDEX(COA!$C$5:$C$59,MATCH(JURNAL!E235,COA!$B$5:$B$59,0)),"")</f>
        <v>Beban gaji tukang</v>
      </c>
      <c r="G235" s="204"/>
      <c r="H235" s="204">
        <v>242667</v>
      </c>
    </row>
    <row r="236" spans="2:8" ht="15.75" customHeight="1" x14ac:dyDescent="0.2">
      <c r="B236" s="30" t="s">
        <v>495</v>
      </c>
      <c r="C236" s="198"/>
      <c r="D236" s="203" t="s">
        <v>500</v>
      </c>
      <c r="E236" s="200">
        <v>5108</v>
      </c>
      <c r="F236" s="24" t="str">
        <f t="array" ref="F236">IFERROR(INDEX(COA!$C$5:$C$59,MATCH(JURNAL!E236,COA!$B$5:$B$59,0)),"")</f>
        <v>Beban gaji tukang</v>
      </c>
      <c r="G236" s="204"/>
      <c r="H236" s="204">
        <v>877000</v>
      </c>
    </row>
    <row r="237" spans="2:8" ht="15.75" customHeight="1" x14ac:dyDescent="0.2">
      <c r="B237" s="30" t="s">
        <v>495</v>
      </c>
      <c r="C237" s="198"/>
      <c r="D237" s="202" t="s">
        <v>501</v>
      </c>
      <c r="E237" s="200">
        <v>5108</v>
      </c>
      <c r="F237" s="24" t="str">
        <f t="array" ref="F237">IFERROR(INDEX(COA!$C$5:$C$59,MATCH(JURNAL!E237,COA!$B$5:$B$59,0)),"")</f>
        <v>Beban gaji tukang</v>
      </c>
      <c r="G237" s="204"/>
      <c r="H237" s="204">
        <v>300000</v>
      </c>
    </row>
    <row r="238" spans="2:8" ht="15.75" customHeight="1" x14ac:dyDescent="0.2">
      <c r="B238" s="30" t="s">
        <v>495</v>
      </c>
      <c r="C238" s="198"/>
      <c r="D238" s="202" t="s">
        <v>502</v>
      </c>
      <c r="E238" s="200">
        <v>5108</v>
      </c>
      <c r="F238" s="24" t="str">
        <f t="array" ref="F238">IFERROR(INDEX(COA!$C$5:$C$59,MATCH(JURNAL!E238,COA!$B$5:$B$59,0)),"")</f>
        <v>Beban gaji tukang</v>
      </c>
      <c r="G238" s="204"/>
      <c r="H238" s="204">
        <v>300000</v>
      </c>
    </row>
    <row r="239" spans="2:8" ht="15.75" customHeight="1" x14ac:dyDescent="0.2">
      <c r="B239" s="30" t="s">
        <v>495</v>
      </c>
      <c r="C239" s="198"/>
      <c r="D239" s="202" t="s">
        <v>503</v>
      </c>
      <c r="E239" s="200">
        <v>5108</v>
      </c>
      <c r="F239" s="24" t="str">
        <f t="array" ref="F239">IFERROR(INDEX(COA!$C$5:$C$59,MATCH(JURNAL!E239,COA!$B$5:$B$59,0)),"")</f>
        <v>Beban gaji tukang</v>
      </c>
      <c r="G239" s="204"/>
      <c r="H239" s="204">
        <v>100000</v>
      </c>
    </row>
    <row r="240" spans="2:8" ht="15.75" customHeight="1" x14ac:dyDescent="0.2">
      <c r="B240" s="30" t="s">
        <v>504</v>
      </c>
      <c r="C240" s="24"/>
      <c r="D240" s="201" t="s">
        <v>291</v>
      </c>
      <c r="E240" s="24">
        <v>4110</v>
      </c>
      <c r="F240" s="24" t="str">
        <f t="array" ref="F240">IFERROR(INDEX(COA!$C$5:$C$59,MATCH(JURNAL!E240,COA!$B$5:$B$59,0)),"")</f>
        <v>Pendapatan jasa</v>
      </c>
      <c r="G240" s="204">
        <v>11255338</v>
      </c>
      <c r="H240" s="204"/>
    </row>
    <row r="241" spans="2:8" ht="15.75" customHeight="1" x14ac:dyDescent="0.2">
      <c r="B241" s="30" t="s">
        <v>504</v>
      </c>
      <c r="C241" s="24"/>
      <c r="D241" s="205" t="s">
        <v>229</v>
      </c>
      <c r="E241" s="24">
        <v>4120</v>
      </c>
      <c r="F241" s="24" t="str">
        <f t="array" ref="F241">IFERROR(INDEX(COA!$C$5:$C$59,MATCH(JURNAL!E241,COA!$B$5:$B$59,0)),"")</f>
        <v>pendapatan shoepolice</v>
      </c>
      <c r="G241" s="204">
        <v>6000000</v>
      </c>
      <c r="H241" s="204"/>
    </row>
    <row r="242" spans="2:8" ht="15.75" customHeight="1" x14ac:dyDescent="0.2">
      <c r="B242" s="30" t="s">
        <v>504</v>
      </c>
      <c r="C242" s="198"/>
      <c r="D242" s="202" t="s">
        <v>505</v>
      </c>
      <c r="E242" s="200">
        <v>5300</v>
      </c>
      <c r="F242" s="24" t="str">
        <f t="array" ref="F242">IFERROR(INDEX(COA!$C$5:$C$59,MATCH(JURNAL!E242,COA!$B$5:$B$59,0)),"")</f>
        <v>Biaya packaging</v>
      </c>
      <c r="G242" s="204"/>
      <c r="H242" s="204">
        <v>551000</v>
      </c>
    </row>
    <row r="243" spans="2:8" ht="15.75" customHeight="1" x14ac:dyDescent="0.2">
      <c r="B243" s="30" t="s">
        <v>504</v>
      </c>
      <c r="C243" s="198"/>
      <c r="D243" s="202" t="s">
        <v>506</v>
      </c>
      <c r="E243" s="200">
        <v>5300</v>
      </c>
      <c r="F243" s="24" t="str">
        <f t="array" ref="F243">IFERROR(INDEX(COA!$C$5:$C$59,MATCH(JURNAL!E243,COA!$B$5:$B$59,0)),"")</f>
        <v>Biaya packaging</v>
      </c>
      <c r="G243" s="204"/>
      <c r="H243" s="204">
        <v>113900</v>
      </c>
    </row>
    <row r="244" spans="2:8" ht="15.75" customHeight="1" x14ac:dyDescent="0.2">
      <c r="B244" s="30" t="s">
        <v>504</v>
      </c>
      <c r="C244" s="198"/>
      <c r="D244" s="202" t="s">
        <v>507</v>
      </c>
      <c r="E244" s="200">
        <v>5310</v>
      </c>
      <c r="F244" s="24" t="str">
        <f t="array" ref="F244">IFERROR(INDEX(COA!$C$5:$C$59,MATCH(JURNAL!E244,COA!$B$5:$B$59,0)),"")</f>
        <v>Biaya ekspedisi &amp; ongkir</v>
      </c>
      <c r="G244" s="204"/>
      <c r="H244" s="204">
        <v>27000</v>
      </c>
    </row>
    <row r="245" spans="2:8" ht="15.75" customHeight="1" x14ac:dyDescent="0.2">
      <c r="B245" s="30" t="s">
        <v>504</v>
      </c>
      <c r="C245" s="198"/>
      <c r="D245" s="202" t="s">
        <v>508</v>
      </c>
      <c r="E245" s="200">
        <v>6100</v>
      </c>
      <c r="F245" s="24" t="str">
        <f t="array" ref="F245">IFERROR(INDEX(COA!$C$5:$C$59,MATCH(JURNAL!E245,COA!$B$5:$B$59,0)),"")</f>
        <v/>
      </c>
      <c r="G245" s="204"/>
      <c r="H245" s="204">
        <v>12500</v>
      </c>
    </row>
    <row r="246" spans="2:8" ht="15.75" customHeight="1" x14ac:dyDescent="0.2">
      <c r="B246" s="30" t="s">
        <v>504</v>
      </c>
      <c r="C246" s="198"/>
      <c r="D246" s="202" t="s">
        <v>509</v>
      </c>
      <c r="E246" s="200">
        <v>8010</v>
      </c>
      <c r="F246" s="24" t="str">
        <f t="array" ref="F246">IFERROR(INDEX(COA!$C$5:$C$59,MATCH(JURNAL!E246,COA!$B$5:$B$59,0)),"")</f>
        <v/>
      </c>
      <c r="G246" s="204"/>
      <c r="H246" s="204">
        <v>1799614</v>
      </c>
    </row>
    <row r="247" spans="2:8" ht="15.75" customHeight="1" x14ac:dyDescent="0.2">
      <c r="B247" s="30" t="s">
        <v>504</v>
      </c>
      <c r="C247" s="198"/>
      <c r="D247" s="202" t="s">
        <v>349</v>
      </c>
      <c r="E247" s="200">
        <v>5440</v>
      </c>
      <c r="F247" s="24" t="str">
        <f t="array" ref="F247">IFERROR(INDEX(COA!$C$5:$C$59,MATCH(JURNAL!E247,COA!$B$5:$B$59,0)),"")</f>
        <v>ADS</v>
      </c>
      <c r="G247" s="204"/>
      <c r="H247" s="204">
        <v>2000000</v>
      </c>
    </row>
    <row r="248" spans="2:8" ht="15.75" customHeight="1" x14ac:dyDescent="0.2">
      <c r="B248" s="30" t="s">
        <v>504</v>
      </c>
      <c r="C248" s="198"/>
      <c r="D248" s="202" t="s">
        <v>351</v>
      </c>
      <c r="E248" s="200"/>
      <c r="F248" s="24" t="str">
        <f t="array" ref="F248">IFERROR(INDEX(COA!$C$5:$C$59,MATCH(JURNAL!E248,COA!$B$5:$B$59,0)),"")</f>
        <v/>
      </c>
      <c r="G248" s="204"/>
      <c r="H248" s="204">
        <v>151000</v>
      </c>
    </row>
    <row r="249" spans="2:8" ht="15.75" customHeight="1" x14ac:dyDescent="0.2">
      <c r="B249" s="30" t="s">
        <v>504</v>
      </c>
      <c r="C249" s="198"/>
      <c r="D249" s="203" t="s">
        <v>510</v>
      </c>
      <c r="E249" s="200">
        <v>5580</v>
      </c>
      <c r="F249" s="24" t="str">
        <f t="array" ref="F249">IFERROR(INDEX(COA!$C$5:$C$59,MATCH(JURNAL!E249,COA!$B$5:$B$59,0)),"")</f>
        <v/>
      </c>
      <c r="G249" s="204"/>
      <c r="H249" s="204">
        <v>445000</v>
      </c>
    </row>
    <row r="250" spans="2:8" ht="15.75" customHeight="1" x14ac:dyDescent="0.2">
      <c r="B250" s="30" t="s">
        <v>511</v>
      </c>
      <c r="C250" s="24"/>
      <c r="D250" s="61" t="s">
        <v>291</v>
      </c>
      <c r="E250" s="24">
        <v>4110</v>
      </c>
      <c r="F250" s="24" t="str">
        <f t="array" ref="F250">IFERROR(INDEX(COA!$C$5:$C$59,MATCH(JURNAL!E250,COA!$B$5:$B$59,0)),"")</f>
        <v>Pendapatan jasa</v>
      </c>
      <c r="G250" s="204">
        <v>12221378</v>
      </c>
      <c r="H250" s="204"/>
    </row>
    <row r="251" spans="2:8" ht="15.75" customHeight="1" x14ac:dyDescent="0.2">
      <c r="B251" s="30" t="s">
        <v>511</v>
      </c>
      <c r="C251" s="198"/>
      <c r="D251" s="202" t="s">
        <v>512</v>
      </c>
      <c r="E251" s="200">
        <v>6000</v>
      </c>
      <c r="F251" s="24" t="str">
        <f t="array" ref="F251">IFERROR(INDEX(COA!$C$5:$C$59,MATCH(JURNAL!E251,COA!$B$5:$B$59,0)),"")</f>
        <v/>
      </c>
      <c r="G251" s="204"/>
      <c r="H251" s="204">
        <v>20000</v>
      </c>
    </row>
    <row r="252" spans="2:8" ht="15.75" customHeight="1" x14ac:dyDescent="0.2">
      <c r="B252" s="30" t="s">
        <v>511</v>
      </c>
      <c r="C252" s="198"/>
      <c r="D252" s="202" t="s">
        <v>513</v>
      </c>
      <c r="E252" s="200">
        <v>6010</v>
      </c>
      <c r="F252" s="24" t="str">
        <f t="array" ref="F252">IFERROR(INDEX(COA!$C$5:$C$59,MATCH(JURNAL!E252,COA!$B$5:$B$59,0)),"")</f>
        <v/>
      </c>
      <c r="G252" s="204"/>
      <c r="H252" s="204">
        <v>10000</v>
      </c>
    </row>
    <row r="253" spans="2:8" ht="15.75" customHeight="1" x14ac:dyDescent="0.2">
      <c r="B253" s="30" t="s">
        <v>511</v>
      </c>
      <c r="C253" s="198"/>
      <c r="D253" s="202" t="s">
        <v>514</v>
      </c>
      <c r="E253" s="200">
        <v>5010</v>
      </c>
      <c r="F253" s="24" t="str">
        <f t="array" ref="F253">IFERROR(INDEX(COA!$C$5:$C$59,MATCH(JURNAL!E253,COA!$B$5:$B$59,0)),"")</f>
        <v>Hpp sole</v>
      </c>
      <c r="G253" s="204"/>
      <c r="H253" s="204">
        <v>78000</v>
      </c>
    </row>
    <row r="254" spans="2:8" ht="15.75" customHeight="1" x14ac:dyDescent="0.2">
      <c r="B254" s="30" t="s">
        <v>511</v>
      </c>
      <c r="C254" s="198"/>
      <c r="D254" s="202" t="s">
        <v>515</v>
      </c>
      <c r="E254" s="200">
        <v>5010</v>
      </c>
      <c r="F254" s="24" t="str">
        <f t="array" ref="F254">IFERROR(INDEX(COA!$C$5:$C$59,MATCH(JURNAL!E254,COA!$B$5:$B$59,0)),"")</f>
        <v>Hpp sole</v>
      </c>
      <c r="G254" s="204"/>
      <c r="H254" s="204">
        <v>202000</v>
      </c>
    </row>
    <row r="255" spans="2:8" ht="15.75" customHeight="1" x14ac:dyDescent="0.2">
      <c r="B255" s="30" t="s">
        <v>511</v>
      </c>
      <c r="C255" s="198"/>
      <c r="D255" s="202" t="s">
        <v>451</v>
      </c>
      <c r="E255" s="200">
        <v>5010</v>
      </c>
      <c r="F255" s="24" t="str">
        <f t="array" ref="F255">IFERROR(INDEX(COA!$C$5:$C$59,MATCH(JURNAL!E255,COA!$B$5:$B$59,0)),"")</f>
        <v>Hpp sole</v>
      </c>
      <c r="G255" s="204"/>
      <c r="H255" s="204">
        <v>207500</v>
      </c>
    </row>
    <row r="256" spans="2:8" ht="15.75" customHeight="1" x14ac:dyDescent="0.2">
      <c r="B256" s="30" t="s">
        <v>511</v>
      </c>
      <c r="C256" s="198"/>
      <c r="D256" s="202" t="s">
        <v>516</v>
      </c>
      <c r="E256" s="200">
        <v>5030</v>
      </c>
      <c r="F256" s="24" t="str">
        <f t="array" ref="F256">IFERROR(INDEX(COA!$C$5:$C$59,MATCH(JURNAL!E256,COA!$B$5:$B$59,0)),"")</f>
        <v>Hpp reguler</v>
      </c>
      <c r="G256" s="204"/>
      <c r="H256" s="204">
        <v>32116</v>
      </c>
    </row>
    <row r="257" spans="2:8" ht="15.75" customHeight="1" x14ac:dyDescent="0.2">
      <c r="B257" s="30" t="s">
        <v>511</v>
      </c>
      <c r="C257" s="198"/>
      <c r="D257" s="202" t="s">
        <v>517</v>
      </c>
      <c r="E257" s="200">
        <v>5030</v>
      </c>
      <c r="F257" s="24" t="str">
        <f t="array" ref="F257">IFERROR(INDEX(COA!$C$5:$C$59,MATCH(JURNAL!E257,COA!$B$5:$B$59,0)),"")</f>
        <v>Hpp reguler</v>
      </c>
      <c r="G257" s="204"/>
      <c r="H257" s="204">
        <v>83754</v>
      </c>
    </row>
    <row r="258" spans="2:8" ht="15.75" customHeight="1" x14ac:dyDescent="0.2">
      <c r="B258" s="30" t="s">
        <v>511</v>
      </c>
      <c r="C258" s="198"/>
      <c r="D258" s="202" t="s">
        <v>518</v>
      </c>
      <c r="E258" s="200">
        <v>5010</v>
      </c>
      <c r="F258" s="24" t="str">
        <f t="array" ref="F258">IFERROR(INDEX(COA!$C$5:$C$59,MATCH(JURNAL!E258,COA!$B$5:$B$59,0)),"")</f>
        <v>Hpp sole</v>
      </c>
      <c r="G258" s="204"/>
      <c r="H258" s="204">
        <v>109065</v>
      </c>
    </row>
    <row r="259" spans="2:8" ht="15.75" customHeight="1" x14ac:dyDescent="0.2">
      <c r="B259" s="30" t="s">
        <v>511</v>
      </c>
      <c r="C259" s="198"/>
      <c r="D259" s="202" t="s">
        <v>519</v>
      </c>
      <c r="E259" s="200">
        <v>5120</v>
      </c>
      <c r="F259" s="24" t="str">
        <f t="array" ref="F259">IFERROR(INDEX(COA!$C$5:$C$59,MATCH(JURNAL!E259,COA!$B$5:$B$59,0)),"")</f>
        <v>Bonus tukang</v>
      </c>
      <c r="G259" s="204"/>
      <c r="H259" s="204">
        <v>200000</v>
      </c>
    </row>
    <row r="260" spans="2:8" ht="15.75" customHeight="1" x14ac:dyDescent="0.2">
      <c r="B260" s="30" t="s">
        <v>511</v>
      </c>
      <c r="C260" s="198"/>
      <c r="D260" s="202" t="s">
        <v>520</v>
      </c>
      <c r="E260" s="200">
        <v>5120</v>
      </c>
      <c r="F260" s="24" t="str">
        <f t="array" ref="F260">IFERROR(INDEX(COA!$C$5:$C$59,MATCH(JURNAL!E260,COA!$B$5:$B$59,0)),"")</f>
        <v>Bonus tukang</v>
      </c>
      <c r="G260" s="204"/>
      <c r="H260" s="204">
        <v>170000</v>
      </c>
    </row>
    <row r="261" spans="2:8" ht="15.75" customHeight="1" x14ac:dyDescent="0.2">
      <c r="B261" s="30" t="s">
        <v>511</v>
      </c>
      <c r="C261" s="198"/>
      <c r="D261" s="202" t="s">
        <v>521</v>
      </c>
      <c r="E261" s="200">
        <v>5120</v>
      </c>
      <c r="F261" s="24" t="str">
        <f t="array" ref="F261">IFERROR(INDEX(COA!$C$5:$C$59,MATCH(JURNAL!E261,COA!$B$5:$B$59,0)),"")</f>
        <v>Bonus tukang</v>
      </c>
      <c r="G261" s="204"/>
      <c r="H261" s="204">
        <v>255000</v>
      </c>
    </row>
    <row r="262" spans="2:8" ht="15.75" customHeight="1" x14ac:dyDescent="0.2">
      <c r="B262" s="30" t="s">
        <v>511</v>
      </c>
      <c r="C262" s="198"/>
      <c r="D262" s="202" t="s">
        <v>522</v>
      </c>
      <c r="E262" s="200">
        <v>5120</v>
      </c>
      <c r="F262" s="24" t="str">
        <f t="array" ref="F262">IFERROR(INDEX(COA!$C$5:$C$59,MATCH(JURNAL!E262,COA!$B$5:$B$59,0)),"")</f>
        <v>Bonus tukang</v>
      </c>
      <c r="G262" s="204"/>
      <c r="H262" s="204">
        <v>160000</v>
      </c>
    </row>
    <row r="263" spans="2:8" ht="15.75" customHeight="1" x14ac:dyDescent="0.2">
      <c r="B263" s="30" t="s">
        <v>511</v>
      </c>
      <c r="C263" s="198"/>
      <c r="D263" s="202" t="s">
        <v>523</v>
      </c>
      <c r="E263" s="200">
        <v>5120</v>
      </c>
      <c r="F263" s="24" t="str">
        <f t="array" ref="F263">IFERROR(INDEX(COA!$C$5:$C$59,MATCH(JURNAL!E263,COA!$B$5:$B$59,0)),"")</f>
        <v>Bonus tukang</v>
      </c>
      <c r="G263" s="204"/>
      <c r="H263" s="204">
        <v>210000</v>
      </c>
    </row>
    <row r="264" spans="2:8" ht="15.75" customHeight="1" x14ac:dyDescent="0.2">
      <c r="B264" s="30" t="s">
        <v>511</v>
      </c>
      <c r="C264" s="198"/>
      <c r="D264" s="202" t="s">
        <v>524</v>
      </c>
      <c r="E264" s="200">
        <v>5120</v>
      </c>
      <c r="F264" s="24" t="str">
        <f t="array" ref="F264">IFERROR(INDEX(COA!$C$5:$C$59,MATCH(JURNAL!E264,COA!$B$5:$B$59,0)),"")</f>
        <v>Bonus tukang</v>
      </c>
      <c r="G264" s="204"/>
      <c r="H264" s="204">
        <v>12000</v>
      </c>
    </row>
    <row r="265" spans="2:8" ht="15.75" customHeight="1" x14ac:dyDescent="0.2">
      <c r="B265" s="30" t="s">
        <v>511</v>
      </c>
      <c r="C265" s="198"/>
      <c r="D265" s="202" t="s">
        <v>525</v>
      </c>
      <c r="E265" s="200">
        <v>5120</v>
      </c>
      <c r="F265" s="24" t="str">
        <f t="array" ref="F265">IFERROR(INDEX(COA!$C$5:$C$59,MATCH(JURNAL!E265,COA!$B$5:$B$59,0)),"")</f>
        <v>Bonus tukang</v>
      </c>
      <c r="G265" s="204"/>
      <c r="H265" s="204">
        <v>85000</v>
      </c>
    </row>
    <row r="266" spans="2:8" ht="15.75" customHeight="1" x14ac:dyDescent="0.2">
      <c r="B266" s="30" t="s">
        <v>511</v>
      </c>
      <c r="C266" s="198"/>
      <c r="D266" s="202" t="s">
        <v>526</v>
      </c>
      <c r="E266" s="200">
        <v>5120</v>
      </c>
      <c r="F266" s="24" t="str">
        <f t="array" ref="F266">IFERROR(INDEX(COA!$C$5:$C$59,MATCH(JURNAL!E266,COA!$B$5:$B$59,0)),"")</f>
        <v>Bonus tukang</v>
      </c>
      <c r="G266" s="204"/>
      <c r="H266" s="204">
        <v>85000</v>
      </c>
    </row>
    <row r="267" spans="2:8" ht="15.75" customHeight="1" x14ac:dyDescent="0.2">
      <c r="B267" s="30" t="s">
        <v>511</v>
      </c>
      <c r="C267" s="198"/>
      <c r="D267" s="202" t="s">
        <v>527</v>
      </c>
      <c r="E267" s="200">
        <v>5120</v>
      </c>
      <c r="F267" s="24" t="str">
        <f t="array" ref="F267">IFERROR(INDEX(COA!$C$5:$C$59,MATCH(JURNAL!E267,COA!$B$5:$B$59,0)),"")</f>
        <v>Bonus tukang</v>
      </c>
      <c r="G267" s="204"/>
      <c r="H267" s="204">
        <v>100476</v>
      </c>
    </row>
    <row r="268" spans="2:8" ht="15.75" customHeight="1" x14ac:dyDescent="0.2">
      <c r="B268" s="30" t="s">
        <v>511</v>
      </c>
      <c r="C268" s="198"/>
      <c r="D268" s="202" t="s">
        <v>528</v>
      </c>
      <c r="E268" s="200">
        <v>5120</v>
      </c>
      <c r="F268" s="24" t="str">
        <f t="array" ref="F268">IFERROR(INDEX(COA!$C$5:$C$59,MATCH(JURNAL!E268,COA!$B$5:$B$59,0)),"")</f>
        <v>Bonus tukang</v>
      </c>
      <c r="G268" s="204"/>
      <c r="H268" s="204">
        <v>180854</v>
      </c>
    </row>
    <row r="269" spans="2:8" ht="15.75" customHeight="1" x14ac:dyDescent="0.2">
      <c r="B269" s="30" t="s">
        <v>511</v>
      </c>
      <c r="C269" s="198"/>
      <c r="D269" s="202" t="s">
        <v>529</v>
      </c>
      <c r="E269" s="200">
        <v>5310</v>
      </c>
      <c r="F269" s="24" t="str">
        <f t="array" ref="F269">IFERROR(INDEX(COA!$C$5:$C$59,MATCH(JURNAL!E269,COA!$B$5:$B$59,0)),"")</f>
        <v>Biaya ekspedisi &amp; ongkir</v>
      </c>
      <c r="G269" s="204"/>
      <c r="H269" s="204">
        <v>10700</v>
      </c>
    </row>
    <row r="270" spans="2:8" ht="15.75" customHeight="1" x14ac:dyDescent="0.2">
      <c r="B270" s="30" t="s">
        <v>511</v>
      </c>
      <c r="C270" s="198"/>
      <c r="D270" s="202" t="s">
        <v>349</v>
      </c>
      <c r="E270" s="200">
        <v>5440</v>
      </c>
      <c r="F270" s="24" t="str">
        <f t="array" ref="F270">IFERROR(INDEX(COA!$C$5:$C$59,MATCH(JURNAL!E270,COA!$B$5:$B$59,0)),"")</f>
        <v>ADS</v>
      </c>
      <c r="G270" s="204"/>
      <c r="H270" s="204">
        <v>2000000</v>
      </c>
    </row>
    <row r="271" spans="2:8" ht="15.75" customHeight="1" x14ac:dyDescent="0.2">
      <c r="B271" s="30" t="s">
        <v>511</v>
      </c>
      <c r="C271" s="198"/>
      <c r="D271" s="202" t="s">
        <v>530</v>
      </c>
      <c r="E271" s="200"/>
      <c r="F271" s="24" t="str">
        <f t="array" ref="F271">IFERROR(INDEX(COA!$C$5:$C$59,MATCH(JURNAL!E271,COA!$B$5:$B$59,0)),"")</f>
        <v/>
      </c>
      <c r="G271" s="204"/>
      <c r="H271" s="204">
        <v>1000000</v>
      </c>
    </row>
    <row r="272" spans="2:8" ht="15.75" customHeight="1" x14ac:dyDescent="0.2">
      <c r="B272" s="30" t="s">
        <v>511</v>
      </c>
      <c r="C272" s="198"/>
      <c r="D272" s="202" t="s">
        <v>531</v>
      </c>
      <c r="E272" s="200">
        <v>6110</v>
      </c>
      <c r="F272" s="24" t="str">
        <f t="array" ref="F272">IFERROR(INDEX(COA!$C$5:$C$59,MATCH(JURNAL!E272,COA!$B$5:$B$59,0)),"")</f>
        <v/>
      </c>
      <c r="G272" s="204"/>
      <c r="H272" s="204">
        <v>370000</v>
      </c>
    </row>
    <row r="273" spans="2:8" ht="15.75" customHeight="1" x14ac:dyDescent="0.2">
      <c r="B273" s="30" t="s">
        <v>511</v>
      </c>
      <c r="C273" s="198"/>
      <c r="D273" s="202" t="s">
        <v>351</v>
      </c>
      <c r="E273" s="200"/>
      <c r="F273" s="24" t="str">
        <f t="array" ref="F273">IFERROR(INDEX(COA!$C$5:$C$59,MATCH(JURNAL!E273,COA!$B$5:$B$59,0)),"")</f>
        <v/>
      </c>
      <c r="G273" s="204"/>
      <c r="H273" s="204">
        <v>100000</v>
      </c>
    </row>
    <row r="274" spans="2:8" ht="15.75" customHeight="1" x14ac:dyDescent="0.2">
      <c r="B274" s="30" t="s">
        <v>532</v>
      </c>
      <c r="C274" s="24"/>
      <c r="D274" s="61" t="s">
        <v>291</v>
      </c>
      <c r="E274" s="24">
        <v>4110</v>
      </c>
      <c r="F274" s="24" t="str">
        <f t="array" ref="F274">IFERROR(INDEX(COA!$C$5:$C$59,MATCH(JURNAL!E274,COA!$B$5:$B$59,0)),"")</f>
        <v>Pendapatan jasa</v>
      </c>
      <c r="G274" s="204">
        <v>13114529</v>
      </c>
      <c r="H274" s="204"/>
    </row>
    <row r="275" spans="2:8" ht="15.75" customHeight="1" x14ac:dyDescent="0.2">
      <c r="B275" s="30" t="s">
        <v>532</v>
      </c>
      <c r="C275" s="198"/>
      <c r="D275" s="202" t="s">
        <v>533</v>
      </c>
      <c r="E275" s="200">
        <v>5300</v>
      </c>
      <c r="F275" s="24" t="str">
        <f t="array" ref="F275">IFERROR(INDEX(COA!$C$5:$C$59,MATCH(JURNAL!E275,COA!$B$5:$B$59,0)),"")</f>
        <v>Biaya packaging</v>
      </c>
      <c r="G275" s="204"/>
      <c r="H275" s="204">
        <v>73000</v>
      </c>
    </row>
    <row r="276" spans="2:8" ht="15.75" customHeight="1" x14ac:dyDescent="0.2">
      <c r="B276" s="30" t="s">
        <v>532</v>
      </c>
      <c r="C276" s="198"/>
      <c r="D276" s="202" t="s">
        <v>349</v>
      </c>
      <c r="E276" s="200">
        <v>5440</v>
      </c>
      <c r="F276" s="24" t="str">
        <f t="array" ref="F276">IFERROR(INDEX(COA!$C$5:$C$59,MATCH(JURNAL!E276,COA!$B$5:$B$59,0)),"")</f>
        <v>ADS</v>
      </c>
      <c r="G276" s="204"/>
      <c r="H276" s="204">
        <v>2000000</v>
      </c>
    </row>
    <row r="277" spans="2:8" ht="15.75" customHeight="1" x14ac:dyDescent="0.2">
      <c r="B277" s="30" t="s">
        <v>532</v>
      </c>
      <c r="C277" s="198"/>
      <c r="D277" s="202" t="s">
        <v>379</v>
      </c>
      <c r="E277" s="200">
        <v>5450</v>
      </c>
      <c r="F277" s="24" t="str">
        <f t="array" ref="F277">IFERROR(INDEX(COA!$C$5:$C$59,MATCH(JURNAL!E277,COA!$B$5:$B$59,0)),"")</f>
        <v>WA API</v>
      </c>
      <c r="G277" s="204"/>
      <c r="H277" s="204">
        <v>907600</v>
      </c>
    </row>
    <row r="278" spans="2:8" ht="15.75" customHeight="1" x14ac:dyDescent="0.2">
      <c r="B278" s="30" t="s">
        <v>532</v>
      </c>
      <c r="C278" s="198"/>
      <c r="D278" s="202" t="s">
        <v>534</v>
      </c>
      <c r="E278" s="200">
        <v>5110</v>
      </c>
      <c r="F278" s="24" t="str">
        <f t="array" ref="F278">IFERROR(INDEX(COA!$C$5:$C$59,MATCH(JURNAL!E278,COA!$B$5:$B$59,0)),"")</f>
        <v>Bonus CS</v>
      </c>
      <c r="G278" s="204"/>
      <c r="H278" s="204">
        <v>1700000</v>
      </c>
    </row>
    <row r="279" spans="2:8" ht="15.75" customHeight="1" x14ac:dyDescent="0.2">
      <c r="B279" s="30" t="s">
        <v>532</v>
      </c>
      <c r="C279" s="198"/>
      <c r="D279" s="202" t="s">
        <v>535</v>
      </c>
      <c r="E279" s="200">
        <v>5030</v>
      </c>
      <c r="F279" s="24" t="str">
        <f t="array" ref="F279">IFERROR(INDEX(COA!$C$5:$C$59,MATCH(JURNAL!E279,COA!$B$5:$B$59,0)),"")</f>
        <v>Hpp reguler</v>
      </c>
      <c r="G279" s="204"/>
      <c r="H279" s="204">
        <v>930000</v>
      </c>
    </row>
    <row r="280" spans="2:8" ht="15.75" customHeight="1" x14ac:dyDescent="0.2">
      <c r="B280" s="30" t="s">
        <v>532</v>
      </c>
      <c r="C280" s="198"/>
      <c r="D280" s="202" t="s">
        <v>536</v>
      </c>
      <c r="E280" s="200">
        <v>5030</v>
      </c>
      <c r="F280" s="24" t="str">
        <f t="array" ref="F280">IFERROR(INDEX(COA!$C$5:$C$59,MATCH(JURNAL!E280,COA!$B$5:$B$59,0)),"")</f>
        <v>Hpp reguler</v>
      </c>
      <c r="G280" s="204"/>
      <c r="H280" s="204">
        <v>220000</v>
      </c>
    </row>
    <row r="281" spans="2:8" ht="15.75" customHeight="1" x14ac:dyDescent="0.2">
      <c r="B281" s="30" t="s">
        <v>532</v>
      </c>
      <c r="C281" s="198"/>
      <c r="D281" s="202" t="s">
        <v>537</v>
      </c>
      <c r="E281" s="200">
        <v>5030</v>
      </c>
      <c r="F281" s="24" t="str">
        <f t="array" ref="F281">IFERROR(INDEX(COA!$C$5:$C$59,MATCH(JURNAL!E281,COA!$B$5:$B$59,0)),"")</f>
        <v>Hpp reguler</v>
      </c>
      <c r="G281" s="204"/>
      <c r="H281" s="204">
        <v>832000</v>
      </c>
    </row>
    <row r="282" spans="2:8" ht="15.75" customHeight="1" x14ac:dyDescent="0.2">
      <c r="B282" s="30" t="s">
        <v>532</v>
      </c>
      <c r="C282" s="198"/>
      <c r="D282" s="202" t="s">
        <v>451</v>
      </c>
      <c r="E282" s="200">
        <v>5010</v>
      </c>
      <c r="F282" s="24" t="str">
        <f t="array" ref="F282">IFERROR(INDEX(COA!$C$5:$C$59,MATCH(JURNAL!E282,COA!$B$5:$B$59,0)),"")</f>
        <v>Hpp sole</v>
      </c>
      <c r="G282" s="204"/>
      <c r="H282" s="204">
        <v>41500</v>
      </c>
    </row>
    <row r="283" spans="2:8" ht="15.75" customHeight="1" x14ac:dyDescent="0.2">
      <c r="B283" s="30" t="s">
        <v>532</v>
      </c>
      <c r="C283" s="198"/>
      <c r="D283" s="202" t="s">
        <v>515</v>
      </c>
      <c r="E283" s="200">
        <v>5010</v>
      </c>
      <c r="F283" s="24" t="str">
        <f t="array" ref="F283">IFERROR(INDEX(COA!$C$5:$C$59,MATCH(JURNAL!E283,COA!$B$5:$B$59,0)),"")</f>
        <v>Hpp sole</v>
      </c>
      <c r="G283" s="204"/>
      <c r="H283" s="204">
        <v>34000</v>
      </c>
    </row>
    <row r="284" spans="2:8" ht="15.75" customHeight="1" x14ac:dyDescent="0.2">
      <c r="B284" s="30" t="s">
        <v>532</v>
      </c>
      <c r="C284" s="198"/>
      <c r="D284" s="202" t="s">
        <v>514</v>
      </c>
      <c r="E284" s="200">
        <v>5010</v>
      </c>
      <c r="F284" s="24" t="str">
        <f t="array" ref="F284">IFERROR(INDEX(COA!$C$5:$C$59,MATCH(JURNAL!E284,COA!$B$5:$B$59,0)),"")</f>
        <v>Hpp sole</v>
      </c>
      <c r="G284" s="204"/>
      <c r="H284" s="204">
        <v>174000</v>
      </c>
    </row>
    <row r="285" spans="2:8" ht="15.75" customHeight="1" x14ac:dyDescent="0.2">
      <c r="B285" s="30" t="s">
        <v>532</v>
      </c>
      <c r="C285" s="198"/>
      <c r="D285" s="202" t="s">
        <v>538</v>
      </c>
      <c r="E285" s="200">
        <v>5030</v>
      </c>
      <c r="F285" s="24" t="str">
        <f t="array" ref="F285">IFERROR(INDEX(COA!$C$5:$C$59,MATCH(JURNAL!E285,COA!$B$5:$B$59,0)),"")</f>
        <v>Hpp reguler</v>
      </c>
      <c r="G285" s="204"/>
      <c r="H285" s="204">
        <v>169500</v>
      </c>
    </row>
    <row r="286" spans="2:8" ht="15.75" customHeight="1" x14ac:dyDescent="0.2">
      <c r="B286" s="30" t="s">
        <v>532</v>
      </c>
      <c r="C286" s="198"/>
      <c r="D286" s="202" t="s">
        <v>512</v>
      </c>
      <c r="E286" s="200">
        <v>6000</v>
      </c>
      <c r="F286" s="24" t="str">
        <f t="array" ref="F286">IFERROR(INDEX(COA!$C$5:$C$59,MATCH(JURNAL!E286,COA!$B$5:$B$59,0)),"")</f>
        <v/>
      </c>
      <c r="G286" s="204"/>
      <c r="H286" s="204">
        <v>20000</v>
      </c>
    </row>
    <row r="287" spans="2:8" ht="15.75" customHeight="1" x14ac:dyDescent="0.2">
      <c r="B287" s="30" t="s">
        <v>532</v>
      </c>
      <c r="C287" s="198"/>
      <c r="D287" s="202" t="s">
        <v>539</v>
      </c>
      <c r="E287" s="200">
        <v>5030</v>
      </c>
      <c r="F287" s="24" t="str">
        <f t="array" ref="F287">IFERROR(INDEX(COA!$C$5:$C$59,MATCH(JURNAL!E287,COA!$B$5:$B$59,0)),"")</f>
        <v>Hpp reguler</v>
      </c>
      <c r="G287" s="204"/>
      <c r="H287" s="204">
        <v>159000</v>
      </c>
    </row>
    <row r="288" spans="2:8" ht="15.75" customHeight="1" x14ac:dyDescent="0.2">
      <c r="B288" s="30" t="s">
        <v>532</v>
      </c>
      <c r="C288" s="198"/>
      <c r="D288" s="202" t="s">
        <v>518</v>
      </c>
      <c r="E288" s="200">
        <v>5010</v>
      </c>
      <c r="F288" s="24" t="str">
        <f t="array" ref="F288">IFERROR(INDEX(COA!$C$5:$C$59,MATCH(JURNAL!E288,COA!$B$5:$B$59,0)),"")</f>
        <v>Hpp sole</v>
      </c>
      <c r="G288" s="204"/>
      <c r="H288" s="204">
        <v>40514</v>
      </c>
    </row>
    <row r="289" spans="2:8" ht="15.75" customHeight="1" x14ac:dyDescent="0.2">
      <c r="B289" s="30" t="s">
        <v>532</v>
      </c>
      <c r="C289" s="198"/>
      <c r="D289" s="202" t="s">
        <v>540</v>
      </c>
      <c r="E289" s="200">
        <v>5030</v>
      </c>
      <c r="F289" s="24" t="str">
        <f t="array" ref="F289">IFERROR(INDEX(COA!$C$5:$C$59,MATCH(JURNAL!E289,COA!$B$5:$B$59,0)),"")</f>
        <v>Hpp reguler</v>
      </c>
      <c r="G289" s="204"/>
      <c r="H289" s="204">
        <v>38296</v>
      </c>
    </row>
    <row r="290" spans="2:8" ht="15.75" customHeight="1" x14ac:dyDescent="0.2">
      <c r="B290" s="30" t="s">
        <v>532</v>
      </c>
      <c r="C290" s="198"/>
      <c r="D290" s="202" t="s">
        <v>541</v>
      </c>
      <c r="E290" s="200">
        <v>5030</v>
      </c>
      <c r="F290" s="24" t="str">
        <f t="array" ref="F290">IFERROR(INDEX(COA!$C$5:$C$59,MATCH(JURNAL!E290,COA!$B$5:$B$59,0)),"")</f>
        <v>Hpp reguler</v>
      </c>
      <c r="G290" s="204"/>
      <c r="H290" s="204">
        <v>60470</v>
      </c>
    </row>
    <row r="291" spans="2:8" ht="15.75" customHeight="1" x14ac:dyDescent="0.2">
      <c r="B291" s="30" t="s">
        <v>532</v>
      </c>
      <c r="C291" s="198"/>
      <c r="D291" s="202" t="s">
        <v>542</v>
      </c>
      <c r="E291" s="200">
        <v>5030</v>
      </c>
      <c r="F291" s="24" t="str">
        <f t="array" ref="F291">IFERROR(INDEX(COA!$C$5:$C$59,MATCH(JURNAL!E291,COA!$B$5:$B$59,0)),"")</f>
        <v>Hpp reguler</v>
      </c>
      <c r="G291" s="204"/>
      <c r="H291" s="204">
        <v>40515</v>
      </c>
    </row>
    <row r="292" spans="2:8" ht="15.75" customHeight="1" x14ac:dyDescent="0.2">
      <c r="B292" s="30" t="s">
        <v>532</v>
      </c>
      <c r="C292" s="198"/>
      <c r="D292" s="202" t="s">
        <v>543</v>
      </c>
      <c r="E292" s="200">
        <v>5030</v>
      </c>
      <c r="F292" s="24" t="str">
        <f t="array" ref="F292">IFERROR(INDEX(COA!$C$5:$C$59,MATCH(JURNAL!E292,COA!$B$5:$B$59,0)),"")</f>
        <v>Hpp reguler</v>
      </c>
      <c r="G292" s="204"/>
      <c r="H292" s="204">
        <v>13505</v>
      </c>
    </row>
    <row r="293" spans="2:8" ht="15.75" customHeight="1" x14ac:dyDescent="0.2">
      <c r="B293" s="30" t="s">
        <v>532</v>
      </c>
      <c r="C293" s="198"/>
      <c r="D293" s="202" t="s">
        <v>544</v>
      </c>
      <c r="E293" s="200">
        <v>5020</v>
      </c>
      <c r="F293" s="24" t="str">
        <f t="array" ref="F293">IFERROR(INDEX(COA!$C$5:$C$59,MATCH(JURNAL!E293,COA!$B$5:$B$59,0)),"")</f>
        <v>Hpp upper</v>
      </c>
      <c r="G293" s="204"/>
      <c r="H293" s="204">
        <v>90075</v>
      </c>
    </row>
    <row r="294" spans="2:8" ht="15.75" customHeight="1" x14ac:dyDescent="0.2">
      <c r="B294" s="30" t="s">
        <v>532</v>
      </c>
      <c r="C294" s="198"/>
      <c r="D294" s="202" t="s">
        <v>545</v>
      </c>
      <c r="E294" s="200">
        <v>5020</v>
      </c>
      <c r="F294" s="24" t="str">
        <f t="array" ref="F294">IFERROR(INDEX(COA!$C$5:$C$59,MATCH(JURNAL!E294,COA!$B$5:$B$59,0)),"")</f>
        <v>Hpp upper</v>
      </c>
      <c r="G294" s="204"/>
      <c r="H294" s="204">
        <v>446500</v>
      </c>
    </row>
    <row r="295" spans="2:8" ht="15.75" customHeight="1" x14ac:dyDescent="0.2">
      <c r="B295" s="30" t="s">
        <v>532</v>
      </c>
      <c r="C295" s="198"/>
      <c r="D295" s="202" t="s">
        <v>546</v>
      </c>
      <c r="E295" s="200">
        <v>5108</v>
      </c>
      <c r="F295" s="24" t="str">
        <f t="array" ref="F295">IFERROR(INDEX(COA!$C$5:$C$59,MATCH(JURNAL!E295,COA!$B$5:$B$59,0)),"")</f>
        <v>Beban gaji tukang</v>
      </c>
      <c r="G295" s="204"/>
      <c r="H295" s="204">
        <v>7000</v>
      </c>
    </row>
    <row r="296" spans="2:8" ht="15.75" customHeight="1" x14ac:dyDescent="0.2">
      <c r="B296" s="30" t="s">
        <v>532</v>
      </c>
      <c r="C296" s="198"/>
      <c r="D296" s="202" t="s">
        <v>547</v>
      </c>
      <c r="E296" s="200">
        <v>5108</v>
      </c>
      <c r="F296" s="24" t="str">
        <f t="array" ref="F296">IFERROR(INDEX(COA!$C$5:$C$59,MATCH(JURNAL!E296,COA!$B$5:$B$59,0)),"")</f>
        <v>Beban gaji tukang</v>
      </c>
      <c r="G296" s="204"/>
      <c r="H296" s="204">
        <v>100000</v>
      </c>
    </row>
    <row r="297" spans="2:8" ht="15.75" customHeight="1" x14ac:dyDescent="0.2">
      <c r="B297" s="30" t="s">
        <v>532</v>
      </c>
      <c r="C297" s="198"/>
      <c r="D297" s="202" t="s">
        <v>548</v>
      </c>
      <c r="E297" s="200">
        <v>5108</v>
      </c>
      <c r="F297" s="24" t="str">
        <f t="array" ref="F297">IFERROR(INDEX(COA!$C$5:$C$59,MATCH(JURNAL!E297,COA!$B$5:$B$59,0)),"")</f>
        <v>Beban gaji tukang</v>
      </c>
      <c r="G297" s="204"/>
      <c r="H297" s="204">
        <v>100000</v>
      </c>
    </row>
    <row r="298" spans="2:8" ht="15.75" customHeight="1" x14ac:dyDescent="0.2">
      <c r="B298" s="30" t="s">
        <v>532</v>
      </c>
      <c r="C298" s="198"/>
      <c r="D298" s="202" t="s">
        <v>549</v>
      </c>
      <c r="E298" s="200">
        <v>5108</v>
      </c>
      <c r="F298" s="24" t="str">
        <f t="array" ref="F298">IFERROR(INDEX(COA!$C$5:$C$59,MATCH(JURNAL!E298,COA!$B$5:$B$59,0)),"")</f>
        <v>Beban gaji tukang</v>
      </c>
      <c r="G298" s="204"/>
      <c r="H298" s="204">
        <v>100000</v>
      </c>
    </row>
    <row r="299" spans="2:8" ht="15.75" customHeight="1" x14ac:dyDescent="0.2">
      <c r="B299" s="30" t="s">
        <v>532</v>
      </c>
      <c r="C299" s="198"/>
      <c r="D299" s="202" t="s">
        <v>550</v>
      </c>
      <c r="E299" s="200">
        <v>5108</v>
      </c>
      <c r="F299" s="24" t="str">
        <f t="array" ref="F299">IFERROR(INDEX(COA!$C$5:$C$59,MATCH(JURNAL!E299,COA!$B$5:$B$59,0)),"")</f>
        <v>Beban gaji tukang</v>
      </c>
      <c r="G299" s="204"/>
      <c r="H299" s="204">
        <v>100000</v>
      </c>
    </row>
    <row r="300" spans="2:8" ht="15.75" customHeight="1" x14ac:dyDescent="0.2">
      <c r="B300" s="30" t="s">
        <v>532</v>
      </c>
      <c r="C300" s="198"/>
      <c r="D300" s="202" t="s">
        <v>551</v>
      </c>
      <c r="E300" s="200">
        <v>5108</v>
      </c>
      <c r="F300" s="24" t="str">
        <f t="array" ref="F300">IFERROR(INDEX(COA!$C$5:$C$59,MATCH(JURNAL!E300,COA!$B$5:$B$59,0)),"")</f>
        <v>Beban gaji tukang</v>
      </c>
      <c r="G300" s="204"/>
      <c r="H300" s="204">
        <v>100000</v>
      </c>
    </row>
    <row r="301" spans="2:8" ht="15.75" customHeight="1" x14ac:dyDescent="0.2">
      <c r="B301" s="30" t="s">
        <v>532</v>
      </c>
      <c r="C301" s="198"/>
      <c r="D301" s="202" t="s">
        <v>552</v>
      </c>
      <c r="E301" s="200">
        <v>5108</v>
      </c>
      <c r="F301" s="24" t="str">
        <f t="array" ref="F301">IFERROR(INDEX(COA!$C$5:$C$59,MATCH(JURNAL!E301,COA!$B$5:$B$59,0)),"")</f>
        <v>Beban gaji tukang</v>
      </c>
      <c r="G301" s="204"/>
      <c r="H301" s="204">
        <v>100000</v>
      </c>
    </row>
    <row r="302" spans="2:8" ht="15.75" customHeight="1" x14ac:dyDescent="0.2">
      <c r="B302" s="30" t="s">
        <v>553</v>
      </c>
      <c r="C302" s="24"/>
      <c r="D302" s="61" t="s">
        <v>291</v>
      </c>
      <c r="E302" s="24">
        <v>4110</v>
      </c>
      <c r="F302" s="24" t="str">
        <f t="array" ref="F302">IFERROR(INDEX(COA!$C$5:$C$59,MATCH(JURNAL!E302,COA!$B$5:$B$59,0)),"")</f>
        <v>Pendapatan jasa</v>
      </c>
      <c r="G302" s="204">
        <v>15643643</v>
      </c>
      <c r="H302" s="204"/>
    </row>
    <row r="303" spans="2:8" ht="15.75" customHeight="1" x14ac:dyDescent="0.2">
      <c r="B303" s="30" t="s">
        <v>553</v>
      </c>
      <c r="C303" s="198"/>
      <c r="D303" s="202" t="s">
        <v>554</v>
      </c>
      <c r="E303" s="200">
        <v>6030</v>
      </c>
      <c r="F303" s="24" t="str">
        <f t="array" ref="F303">IFERROR(INDEX(COA!$C$5:$C$59,MATCH(JURNAL!E303,COA!$B$5:$B$59,0)),"")</f>
        <v/>
      </c>
      <c r="G303" s="204"/>
      <c r="H303" s="204">
        <v>27500</v>
      </c>
    </row>
    <row r="304" spans="2:8" ht="15.75" customHeight="1" x14ac:dyDescent="0.2">
      <c r="B304" s="30" t="s">
        <v>553</v>
      </c>
      <c r="C304" s="198"/>
      <c r="D304" s="202" t="s">
        <v>451</v>
      </c>
      <c r="E304" s="200">
        <v>5010</v>
      </c>
      <c r="F304" s="24" t="str">
        <f t="array" ref="F304">IFERROR(INDEX(COA!$C$5:$C$59,MATCH(JURNAL!E304,COA!$B$5:$B$59,0)),"")</f>
        <v>Hpp sole</v>
      </c>
      <c r="G304" s="204"/>
      <c r="H304" s="204">
        <v>11500</v>
      </c>
    </row>
    <row r="305" spans="2:8" ht="15.75" customHeight="1" x14ac:dyDescent="0.2">
      <c r="B305" s="30" t="s">
        <v>553</v>
      </c>
      <c r="C305" s="198"/>
      <c r="D305" s="202" t="s">
        <v>515</v>
      </c>
      <c r="E305" s="200">
        <v>5010</v>
      </c>
      <c r="F305" s="24" t="str">
        <f t="array" ref="F305">IFERROR(INDEX(COA!$C$5:$C$59,MATCH(JURNAL!E305,COA!$B$5:$B$59,0)),"")</f>
        <v>Hpp sole</v>
      </c>
      <c r="G305" s="204"/>
      <c r="H305" s="204">
        <v>40000</v>
      </c>
    </row>
    <row r="306" spans="2:8" ht="15.75" customHeight="1" x14ac:dyDescent="0.2">
      <c r="B306" s="30" t="s">
        <v>553</v>
      </c>
      <c r="C306" s="198"/>
      <c r="D306" s="202" t="s">
        <v>514</v>
      </c>
      <c r="E306" s="200">
        <v>5010</v>
      </c>
      <c r="F306" s="24" t="str">
        <f t="array" ref="F306">IFERROR(INDEX(COA!$C$5:$C$59,MATCH(JURNAL!E306,COA!$B$5:$B$59,0)),"")</f>
        <v>Hpp sole</v>
      </c>
      <c r="G306" s="204"/>
      <c r="H306" s="204">
        <v>119000</v>
      </c>
    </row>
    <row r="307" spans="2:8" ht="15.75" customHeight="1" x14ac:dyDescent="0.2">
      <c r="B307" s="30" t="s">
        <v>553</v>
      </c>
      <c r="C307" s="198"/>
      <c r="D307" s="202" t="s">
        <v>555</v>
      </c>
      <c r="E307" s="200">
        <v>5010</v>
      </c>
      <c r="F307" s="24" t="str">
        <f t="array" ref="F307">IFERROR(INDEX(COA!$C$5:$C$59,MATCH(JURNAL!E307,COA!$B$5:$B$59,0)),"")</f>
        <v>Hpp sole</v>
      </c>
      <c r="G307" s="204"/>
      <c r="H307" s="204">
        <v>351940</v>
      </c>
    </row>
    <row r="308" spans="2:8" ht="15.75" customHeight="1" x14ac:dyDescent="0.2">
      <c r="B308" s="30" t="s">
        <v>553</v>
      </c>
      <c r="C308" s="198"/>
      <c r="D308" s="202" t="s">
        <v>344</v>
      </c>
      <c r="E308" s="200">
        <v>5010</v>
      </c>
      <c r="F308" s="24" t="str">
        <f t="array" ref="F308">IFERROR(INDEX(COA!$C$5:$C$59,MATCH(JURNAL!E308,COA!$B$5:$B$59,0)),"")</f>
        <v>Hpp sole</v>
      </c>
      <c r="G308" s="204"/>
      <c r="H308" s="204">
        <v>627000</v>
      </c>
    </row>
    <row r="309" spans="2:8" ht="15.75" customHeight="1" x14ac:dyDescent="0.2">
      <c r="B309" s="30" t="s">
        <v>553</v>
      </c>
      <c r="C309" s="198"/>
      <c r="D309" s="202" t="s">
        <v>556</v>
      </c>
      <c r="E309" s="200">
        <v>5310</v>
      </c>
      <c r="F309" s="24" t="str">
        <f t="array" ref="F309">IFERROR(INDEX(COA!$C$5:$C$59,MATCH(JURNAL!E309,COA!$B$5:$B$59,0)),"")</f>
        <v>Biaya ekspedisi &amp; ongkir</v>
      </c>
      <c r="G309" s="204"/>
      <c r="H309" s="204">
        <v>104000</v>
      </c>
    </row>
    <row r="310" spans="2:8" ht="15.75" customHeight="1" x14ac:dyDescent="0.2">
      <c r="B310" s="30" t="s">
        <v>553</v>
      </c>
      <c r="C310" s="198"/>
      <c r="D310" s="202" t="s">
        <v>557</v>
      </c>
      <c r="E310" s="200">
        <v>5310</v>
      </c>
      <c r="F310" s="24" t="str">
        <f t="array" ref="F310">IFERROR(INDEX(COA!$C$5:$C$59,MATCH(JURNAL!E310,COA!$B$5:$B$59,0)),"")</f>
        <v>Biaya ekspedisi &amp; ongkir</v>
      </c>
      <c r="G310" s="204"/>
      <c r="H310" s="204">
        <v>73000</v>
      </c>
    </row>
    <row r="311" spans="2:8" ht="15.75" customHeight="1" x14ac:dyDescent="0.2">
      <c r="B311" s="30" t="s">
        <v>553</v>
      </c>
      <c r="C311" s="198"/>
      <c r="D311" s="202" t="s">
        <v>558</v>
      </c>
      <c r="E311" s="200">
        <v>5310</v>
      </c>
      <c r="F311" s="24" t="str">
        <f t="array" ref="F311">IFERROR(INDEX(COA!$C$5:$C$59,MATCH(JURNAL!E311,COA!$B$5:$B$59,0)),"")</f>
        <v>Biaya ekspedisi &amp; ongkir</v>
      </c>
      <c r="G311" s="204"/>
      <c r="H311" s="204">
        <v>73000</v>
      </c>
    </row>
    <row r="312" spans="2:8" ht="15.75" customHeight="1" x14ac:dyDescent="0.2">
      <c r="B312" s="30" t="s">
        <v>553</v>
      </c>
      <c r="C312" s="198"/>
      <c r="D312" s="202" t="s">
        <v>559</v>
      </c>
      <c r="E312" s="200">
        <v>5310</v>
      </c>
      <c r="F312" s="24" t="str">
        <f t="array" ref="F312">IFERROR(INDEX(COA!$C$5:$C$59,MATCH(JURNAL!E312,COA!$B$5:$B$59,0)),"")</f>
        <v>Biaya ekspedisi &amp; ongkir</v>
      </c>
      <c r="G312" s="204"/>
      <c r="H312" s="204">
        <v>22000</v>
      </c>
    </row>
    <row r="313" spans="2:8" ht="15.75" customHeight="1" x14ac:dyDescent="0.2">
      <c r="B313" s="30" t="s">
        <v>553</v>
      </c>
      <c r="C313" s="198"/>
      <c r="D313" s="202" t="s">
        <v>560</v>
      </c>
      <c r="E313" s="200">
        <v>5530</v>
      </c>
      <c r="F313" s="24" t="str">
        <f t="array" ref="F313">IFERROR(INDEX(COA!$C$5:$C$59,MATCH(JURNAL!E313,COA!$B$5:$B$59,0)),"")</f>
        <v>Beban PDAM Office</v>
      </c>
      <c r="G313" s="204"/>
      <c r="H313" s="204">
        <v>116500</v>
      </c>
    </row>
    <row r="314" spans="2:8" ht="15.75" customHeight="1" x14ac:dyDescent="0.2">
      <c r="B314" s="30" t="s">
        <v>553</v>
      </c>
      <c r="C314" s="198"/>
      <c r="D314" s="202" t="s">
        <v>561</v>
      </c>
      <c r="E314" s="200">
        <v>5510</v>
      </c>
      <c r="F314" s="24" t="str">
        <f t="array" ref="F314">IFERROR(INDEX(COA!$C$5:$C$59,MATCH(JURNAL!E314,COA!$B$5:$B$59,0)),"")</f>
        <v>Beban Listrik Workshop</v>
      </c>
      <c r="G314" s="204"/>
      <c r="H314" s="204">
        <v>514400</v>
      </c>
    </row>
    <row r="315" spans="2:8" ht="15.75" customHeight="1" x14ac:dyDescent="0.2">
      <c r="B315" s="30" t="s">
        <v>553</v>
      </c>
      <c r="C315" s="198"/>
      <c r="D315" s="202" t="s">
        <v>562</v>
      </c>
      <c r="E315" s="200">
        <v>5550</v>
      </c>
      <c r="F315" s="24" t="str">
        <f t="array" ref="F315">IFERROR(INDEX(COA!$C$5:$C$59,MATCH(JURNAL!E315,COA!$B$5:$B$59,0)),"")</f>
        <v/>
      </c>
      <c r="G315" s="204"/>
      <c r="H315" s="204">
        <v>139600</v>
      </c>
    </row>
    <row r="316" spans="2:8" ht="15.75" customHeight="1" x14ac:dyDescent="0.2">
      <c r="B316" s="30" t="s">
        <v>553</v>
      </c>
      <c r="C316" s="198"/>
      <c r="D316" s="202" t="s">
        <v>563</v>
      </c>
      <c r="E316" s="200">
        <v>6100</v>
      </c>
      <c r="F316" s="24" t="str">
        <f t="array" ref="F316">IFERROR(INDEX(COA!$C$5:$C$59,MATCH(JURNAL!E316,COA!$B$5:$B$59,0)),"")</f>
        <v/>
      </c>
      <c r="G316" s="204"/>
      <c r="H316" s="204">
        <v>8000</v>
      </c>
    </row>
    <row r="317" spans="2:8" ht="15.75" customHeight="1" x14ac:dyDescent="0.2">
      <c r="B317" s="30" t="s">
        <v>553</v>
      </c>
      <c r="C317" s="198"/>
      <c r="D317" s="202" t="s">
        <v>351</v>
      </c>
      <c r="E317" s="200"/>
      <c r="F317" s="24" t="str">
        <f t="array" ref="F317">IFERROR(INDEX(COA!$C$5:$C$59,MATCH(JURNAL!E317,COA!$B$5:$B$59,0)),"")</f>
        <v/>
      </c>
      <c r="G317" s="204"/>
      <c r="H317" s="204">
        <v>160000</v>
      </c>
    </row>
    <row r="318" spans="2:8" ht="15.75" customHeight="1" x14ac:dyDescent="0.2">
      <c r="B318" s="30" t="s">
        <v>553</v>
      </c>
      <c r="C318" s="198"/>
      <c r="D318" s="202" t="s">
        <v>349</v>
      </c>
      <c r="E318" s="200">
        <v>5440</v>
      </c>
      <c r="F318" s="24" t="str">
        <f t="array" ref="F318">IFERROR(INDEX(COA!$C$5:$C$59,MATCH(JURNAL!E318,COA!$B$5:$B$59,0)),"")</f>
        <v>ADS</v>
      </c>
      <c r="G318" s="204"/>
      <c r="H318" s="204">
        <v>3000000</v>
      </c>
    </row>
    <row r="319" spans="2:8" ht="15.75" customHeight="1" x14ac:dyDescent="0.2">
      <c r="B319" s="30" t="s">
        <v>553</v>
      </c>
      <c r="C319" s="198"/>
      <c r="D319" s="202" t="s">
        <v>351</v>
      </c>
      <c r="E319" s="200"/>
      <c r="F319" s="24" t="str">
        <f t="array" ref="F319">IFERROR(INDEX(COA!$C$5:$C$59,MATCH(JURNAL!E319,COA!$B$5:$B$59,0)),"")</f>
        <v/>
      </c>
      <c r="G319" s="204"/>
      <c r="H319" s="204">
        <v>80220</v>
      </c>
    </row>
    <row r="320" spans="2:8" ht="15.75" customHeight="1" x14ac:dyDescent="0.2">
      <c r="B320" s="30" t="s">
        <v>553</v>
      </c>
      <c r="C320" s="198"/>
      <c r="D320" s="202" t="s">
        <v>564</v>
      </c>
      <c r="E320" s="200">
        <v>5560</v>
      </c>
      <c r="F320" s="24" t="str">
        <f t="array" ref="F320">IFERROR(INDEX(COA!$C$5:$C$59,MATCH(JURNAL!E320,COA!$B$5:$B$59,0)),"")</f>
        <v/>
      </c>
      <c r="G320" s="204"/>
      <c r="H320" s="204">
        <v>334000</v>
      </c>
    </row>
    <row r="321" spans="2:8" ht="15.75" customHeight="1" x14ac:dyDescent="0.2">
      <c r="B321" s="30" t="s">
        <v>553</v>
      </c>
      <c r="C321" s="198"/>
      <c r="D321" s="202" t="s">
        <v>351</v>
      </c>
      <c r="E321" s="200"/>
      <c r="F321" s="24" t="str">
        <f t="array" ref="F321">IFERROR(INDEX(COA!$C$5:$C$59,MATCH(JURNAL!E321,COA!$B$5:$B$59,0)),"")</f>
        <v/>
      </c>
      <c r="G321" s="204"/>
      <c r="H321" s="204">
        <v>151000</v>
      </c>
    </row>
    <row r="322" spans="2:8" ht="15.75" customHeight="1" x14ac:dyDescent="0.2">
      <c r="B322" s="30" t="s">
        <v>565</v>
      </c>
      <c r="C322" s="198"/>
      <c r="D322" s="202" t="s">
        <v>291</v>
      </c>
      <c r="E322" s="200">
        <v>4110</v>
      </c>
      <c r="F322" s="24" t="str">
        <f t="array" ref="F322">IFERROR(INDEX(COA!$C$5:$C$59,MATCH(JURNAL!E322,COA!$B$5:$B$59,0)),"")</f>
        <v>Pendapatan jasa</v>
      </c>
      <c r="G322" s="204">
        <v>9544407</v>
      </c>
      <c r="H322" s="204"/>
    </row>
    <row r="323" spans="2:8" ht="15.75" customHeight="1" x14ac:dyDescent="0.2">
      <c r="B323" s="30" t="s">
        <v>565</v>
      </c>
      <c r="C323" s="198"/>
      <c r="D323" s="202" t="s">
        <v>566</v>
      </c>
      <c r="E323" s="200">
        <v>5310</v>
      </c>
      <c r="F323" s="24" t="str">
        <f t="array" ref="F323">IFERROR(INDEX(COA!$C$5:$C$59,MATCH(JURNAL!E323,COA!$B$5:$B$59,0)),"")</f>
        <v>Biaya ekspedisi &amp; ongkir</v>
      </c>
      <c r="G323" s="204"/>
      <c r="H323" s="204">
        <v>10000</v>
      </c>
    </row>
    <row r="324" spans="2:8" ht="15.75" customHeight="1" x14ac:dyDescent="0.2">
      <c r="B324" s="30" t="s">
        <v>565</v>
      </c>
      <c r="C324" s="198"/>
      <c r="D324" s="202" t="s">
        <v>567</v>
      </c>
      <c r="E324" s="200">
        <v>5200</v>
      </c>
      <c r="F324" s="24" t="str">
        <f t="array" ref="F324">IFERROR(INDEX(COA!$C$5:$C$59,MATCH(JURNAL!E324,COA!$B$5:$B$59,0)),"")</f>
        <v xml:space="preserve">Konsumsi lembur &amp; Meeting </v>
      </c>
      <c r="G324" s="204"/>
      <c r="H324" s="204">
        <v>39000</v>
      </c>
    </row>
    <row r="325" spans="2:8" ht="15.75" customHeight="1" x14ac:dyDescent="0.2">
      <c r="B325" s="30" t="s">
        <v>565</v>
      </c>
      <c r="C325" s="198"/>
      <c r="D325" s="202" t="s">
        <v>568</v>
      </c>
      <c r="E325" s="200">
        <v>5310</v>
      </c>
      <c r="F325" s="24" t="str">
        <f t="array" ref="F325">IFERROR(INDEX(COA!$C$5:$C$59,MATCH(JURNAL!E325,COA!$B$5:$B$59,0)),"")</f>
        <v>Biaya ekspedisi &amp; ongkir</v>
      </c>
      <c r="G325" s="204"/>
      <c r="H325" s="204">
        <v>85000</v>
      </c>
    </row>
    <row r="326" spans="2:8" ht="15.75" customHeight="1" x14ac:dyDescent="0.2">
      <c r="B326" s="30" t="s">
        <v>565</v>
      </c>
      <c r="C326" s="198"/>
      <c r="D326" s="202" t="s">
        <v>351</v>
      </c>
      <c r="E326" s="200"/>
      <c r="F326" s="24" t="str">
        <f t="array" ref="F326">IFERROR(INDEX(COA!$C$5:$C$59,MATCH(JURNAL!E326,COA!$B$5:$B$59,0)),"")</f>
        <v/>
      </c>
      <c r="G326" s="204"/>
      <c r="H326" s="204">
        <v>160000</v>
      </c>
    </row>
    <row r="327" spans="2:8" ht="15.75" customHeight="1" x14ac:dyDescent="0.2">
      <c r="B327" s="30" t="s">
        <v>569</v>
      </c>
      <c r="C327" s="24"/>
      <c r="D327" s="61" t="s">
        <v>291</v>
      </c>
      <c r="E327" s="24">
        <v>4110</v>
      </c>
      <c r="F327" s="24" t="str">
        <f t="array" ref="F327">IFERROR(INDEX(COA!$C$5:$C$59,MATCH(JURNAL!E327,COA!$B$5:$B$59,0)),"")</f>
        <v>Pendapatan jasa</v>
      </c>
      <c r="G327" s="204">
        <v>13873330</v>
      </c>
      <c r="H327" s="204"/>
    </row>
    <row r="328" spans="2:8" ht="15.75" customHeight="1" x14ac:dyDescent="0.2">
      <c r="B328" s="30" t="s">
        <v>569</v>
      </c>
      <c r="C328" s="198"/>
      <c r="D328" s="202" t="s">
        <v>570</v>
      </c>
      <c r="E328" s="200">
        <v>5200</v>
      </c>
      <c r="F328" s="24" t="str">
        <f t="array" ref="F328">IFERROR(INDEX(COA!$C$5:$C$59,MATCH(JURNAL!E328,COA!$B$5:$B$59,0)),"")</f>
        <v xml:space="preserve">Konsumsi lembur &amp; Meeting </v>
      </c>
      <c r="G328" s="204"/>
      <c r="H328" s="204">
        <v>95000</v>
      </c>
    </row>
    <row r="329" spans="2:8" ht="15.75" customHeight="1" x14ac:dyDescent="0.2">
      <c r="B329" s="30" t="s">
        <v>569</v>
      </c>
      <c r="C329" s="198"/>
      <c r="D329" s="202" t="s">
        <v>512</v>
      </c>
      <c r="E329" s="200">
        <v>6000</v>
      </c>
      <c r="F329" s="24" t="str">
        <f t="array" ref="F329">IFERROR(INDEX(COA!$C$5:$C$59,MATCH(JURNAL!E329,COA!$B$5:$B$59,0)),"")</f>
        <v/>
      </c>
      <c r="G329" s="204"/>
      <c r="H329" s="204">
        <v>20000</v>
      </c>
    </row>
    <row r="330" spans="2:8" ht="15.75" customHeight="1" x14ac:dyDescent="0.2">
      <c r="B330" s="30" t="s">
        <v>569</v>
      </c>
      <c r="C330" s="198"/>
      <c r="D330" s="202" t="s">
        <v>571</v>
      </c>
      <c r="E330" s="200">
        <v>6010</v>
      </c>
      <c r="F330" s="24" t="str">
        <f t="array" ref="F330">IFERROR(INDEX(COA!$C$5:$C$59,MATCH(JURNAL!E330,COA!$B$5:$B$59,0)),"")</f>
        <v/>
      </c>
      <c r="G330" s="204"/>
      <c r="H330" s="204">
        <v>10000</v>
      </c>
    </row>
    <row r="331" spans="2:8" ht="15.75" customHeight="1" x14ac:dyDescent="0.2">
      <c r="B331" s="30" t="s">
        <v>569</v>
      </c>
      <c r="C331" s="198"/>
      <c r="D331" s="202" t="s">
        <v>515</v>
      </c>
      <c r="E331" s="200">
        <v>5010</v>
      </c>
      <c r="F331" s="24" t="str">
        <f t="array" ref="F331">IFERROR(INDEX(COA!$C$5:$C$59,MATCH(JURNAL!E331,COA!$B$5:$B$59,0)),"")</f>
        <v>Hpp sole</v>
      </c>
      <c r="G331" s="204"/>
      <c r="H331" s="204">
        <v>25500</v>
      </c>
    </row>
    <row r="332" spans="2:8" ht="15.75" customHeight="1" x14ac:dyDescent="0.2">
      <c r="B332" s="30" t="s">
        <v>569</v>
      </c>
      <c r="C332" s="198"/>
      <c r="D332" s="202" t="s">
        <v>514</v>
      </c>
      <c r="E332" s="200">
        <v>5010</v>
      </c>
      <c r="F332" s="24" t="str">
        <f t="array" ref="F332">IFERROR(INDEX(COA!$C$5:$C$59,MATCH(JURNAL!E332,COA!$B$5:$B$59,0)),"")</f>
        <v>Hpp sole</v>
      </c>
      <c r="G332" s="204"/>
      <c r="H332" s="204">
        <v>85000</v>
      </c>
    </row>
    <row r="333" spans="2:8" ht="15.75" customHeight="1" x14ac:dyDescent="0.2">
      <c r="B333" s="30" t="s">
        <v>569</v>
      </c>
      <c r="C333" s="198"/>
      <c r="D333" s="202" t="s">
        <v>572</v>
      </c>
      <c r="E333" s="200">
        <v>5010</v>
      </c>
      <c r="F333" s="24" t="str">
        <f t="array" ref="F333">IFERROR(INDEX(COA!$C$5:$C$59,MATCH(JURNAL!E333,COA!$B$5:$B$59,0)),"")</f>
        <v>Hpp sole</v>
      </c>
      <c r="G333" s="204"/>
      <c r="H333" s="204">
        <v>28000</v>
      </c>
    </row>
    <row r="334" spans="2:8" ht="15.75" customHeight="1" x14ac:dyDescent="0.2">
      <c r="B334" s="30" t="s">
        <v>569</v>
      </c>
      <c r="C334" s="198"/>
      <c r="D334" s="202" t="s">
        <v>467</v>
      </c>
      <c r="E334" s="200">
        <v>6000</v>
      </c>
      <c r="F334" s="24" t="str">
        <f t="array" ref="F334">IFERROR(INDEX(COA!$C$5:$C$59,MATCH(JURNAL!E334,COA!$B$5:$B$59,0)),"")</f>
        <v/>
      </c>
      <c r="G334" s="204"/>
      <c r="H334" s="204">
        <v>20000</v>
      </c>
    </row>
    <row r="335" spans="2:8" ht="15.75" customHeight="1" x14ac:dyDescent="0.2">
      <c r="B335" s="30" t="s">
        <v>569</v>
      </c>
      <c r="C335" s="198"/>
      <c r="D335" s="202" t="s">
        <v>573</v>
      </c>
      <c r="E335" s="200">
        <v>5108</v>
      </c>
      <c r="F335" s="24" t="str">
        <f t="array" ref="F335">IFERROR(INDEX(COA!$C$5:$C$59,MATCH(JURNAL!E335,COA!$B$5:$B$59,0)),"")</f>
        <v>Beban gaji tukang</v>
      </c>
      <c r="G335" s="204"/>
      <c r="H335" s="204">
        <v>792000</v>
      </c>
    </row>
    <row r="336" spans="2:8" ht="15.75" customHeight="1" x14ac:dyDescent="0.2">
      <c r="B336" s="30" t="s">
        <v>569</v>
      </c>
      <c r="C336" s="198"/>
      <c r="D336" s="202" t="s">
        <v>409</v>
      </c>
      <c r="E336" s="200">
        <v>5108</v>
      </c>
      <c r="F336" s="24" t="str">
        <f t="array" ref="F336">IFERROR(INDEX(COA!$C$5:$C$59,MATCH(JURNAL!E336,COA!$B$5:$B$59,0)),"")</f>
        <v>Beban gaji tukang</v>
      </c>
      <c r="G336" s="204"/>
      <c r="H336" s="204">
        <v>702000</v>
      </c>
    </row>
    <row r="337" spans="2:8" ht="15.75" customHeight="1" x14ac:dyDescent="0.2">
      <c r="B337" s="30" t="s">
        <v>569</v>
      </c>
      <c r="C337" s="198"/>
      <c r="D337" s="202" t="s">
        <v>410</v>
      </c>
      <c r="E337" s="200">
        <v>5108</v>
      </c>
      <c r="F337" s="24" t="str">
        <f t="array" ref="F337">IFERROR(INDEX(COA!$C$5:$C$59,MATCH(JURNAL!E337,COA!$B$5:$B$59,0)),"")</f>
        <v>Beban gaji tukang</v>
      </c>
      <c r="G337" s="204"/>
      <c r="H337" s="204">
        <v>680000</v>
      </c>
    </row>
    <row r="338" spans="2:8" ht="15.75" customHeight="1" x14ac:dyDescent="0.2">
      <c r="B338" s="30" t="s">
        <v>569</v>
      </c>
      <c r="C338" s="198"/>
      <c r="D338" s="202" t="s">
        <v>411</v>
      </c>
      <c r="E338" s="200">
        <v>5108</v>
      </c>
      <c r="F338" s="24" t="str">
        <f t="array" ref="F338">IFERROR(INDEX(COA!$C$5:$C$59,MATCH(JURNAL!E338,COA!$B$5:$B$59,0)),"")</f>
        <v>Beban gaji tukang</v>
      </c>
      <c r="G338" s="204"/>
      <c r="H338" s="204">
        <v>624000</v>
      </c>
    </row>
    <row r="339" spans="2:8" ht="15.75" customHeight="1" x14ac:dyDescent="0.2">
      <c r="B339" s="30" t="s">
        <v>569</v>
      </c>
      <c r="C339" s="198"/>
      <c r="D339" s="202" t="s">
        <v>574</v>
      </c>
      <c r="E339" s="200">
        <v>5108</v>
      </c>
      <c r="F339" s="24" t="str">
        <f t="array" ref="F339">IFERROR(INDEX(COA!$C$5:$C$59,MATCH(JURNAL!E339,COA!$B$5:$B$59,0)),"")</f>
        <v>Beban gaji tukang</v>
      </c>
      <c r="G339" s="204"/>
      <c r="H339" s="204">
        <v>600000</v>
      </c>
    </row>
    <row r="340" spans="2:8" ht="15.75" customHeight="1" x14ac:dyDescent="0.2">
      <c r="B340" s="30" t="s">
        <v>569</v>
      </c>
      <c r="C340" s="198"/>
      <c r="D340" s="202" t="s">
        <v>575</v>
      </c>
      <c r="E340" s="200">
        <v>5108</v>
      </c>
      <c r="F340" s="24" t="str">
        <f t="array" ref="F340">IFERROR(INDEX(COA!$C$5:$C$59,MATCH(JURNAL!E340,COA!$B$5:$B$59,0)),"")</f>
        <v>Beban gaji tukang</v>
      </c>
      <c r="G340" s="204"/>
      <c r="H340" s="204">
        <v>500000</v>
      </c>
    </row>
    <row r="341" spans="2:8" ht="15.75" customHeight="1" x14ac:dyDescent="0.2">
      <c r="B341" s="30" t="s">
        <v>569</v>
      </c>
      <c r="C341" s="198"/>
      <c r="D341" s="202" t="s">
        <v>576</v>
      </c>
      <c r="E341" s="200">
        <v>5108</v>
      </c>
      <c r="F341" s="24" t="str">
        <f t="array" ref="F341">IFERROR(INDEX(COA!$C$5:$C$59,MATCH(JURNAL!E341,COA!$B$5:$B$59,0)),"")</f>
        <v>Beban gaji tukang</v>
      </c>
      <c r="G341" s="204"/>
      <c r="H341" s="204">
        <v>752000</v>
      </c>
    </row>
    <row r="342" spans="2:8" ht="15.75" customHeight="1" x14ac:dyDescent="0.2">
      <c r="B342" s="30" t="s">
        <v>569</v>
      </c>
      <c r="C342" s="198"/>
      <c r="D342" s="202" t="s">
        <v>413</v>
      </c>
      <c r="E342" s="200">
        <v>5108</v>
      </c>
      <c r="F342" s="24" t="str">
        <f t="array" ref="F342">IFERROR(INDEX(COA!$C$5:$C$59,MATCH(JURNAL!E342,COA!$B$5:$B$59,0)),"")</f>
        <v>Beban gaji tukang</v>
      </c>
      <c r="G342" s="204"/>
      <c r="H342" s="204">
        <v>652000</v>
      </c>
    </row>
    <row r="343" spans="2:8" ht="15.75" customHeight="1" x14ac:dyDescent="0.2">
      <c r="B343" s="30" t="s">
        <v>569</v>
      </c>
      <c r="C343" s="198"/>
      <c r="D343" s="202" t="s">
        <v>419</v>
      </c>
      <c r="E343" s="200">
        <v>5108</v>
      </c>
      <c r="F343" s="24" t="str">
        <f t="array" ref="F343">IFERROR(INDEX(COA!$C$5:$C$59,MATCH(JURNAL!E343,COA!$B$5:$B$59,0)),"")</f>
        <v>Beban gaji tukang</v>
      </c>
      <c r="G343" s="204"/>
      <c r="H343" s="204">
        <v>600000</v>
      </c>
    </row>
    <row r="344" spans="2:8" ht="15.75" customHeight="1" x14ac:dyDescent="0.2">
      <c r="B344" s="30" t="s">
        <v>569</v>
      </c>
      <c r="C344" s="198"/>
      <c r="D344" s="202" t="s">
        <v>415</v>
      </c>
      <c r="E344" s="200">
        <v>5108</v>
      </c>
      <c r="F344" s="24" t="str">
        <f t="array" ref="F344">IFERROR(INDEX(COA!$C$5:$C$59,MATCH(JURNAL!E344,COA!$B$5:$B$59,0)),"")</f>
        <v>Beban gaji tukang</v>
      </c>
      <c r="G344" s="204"/>
      <c r="H344" s="204">
        <v>500000</v>
      </c>
    </row>
    <row r="345" spans="2:8" ht="15.75" customHeight="1" x14ac:dyDescent="0.2">
      <c r="B345" s="30" t="s">
        <v>569</v>
      </c>
      <c r="C345" s="198"/>
      <c r="D345" s="202" t="s">
        <v>414</v>
      </c>
      <c r="E345" s="200">
        <v>5108</v>
      </c>
      <c r="F345" s="24" t="str">
        <f t="array" ref="F345">IFERROR(INDEX(COA!$C$5:$C$59,MATCH(JURNAL!E345,COA!$B$5:$B$59,0)),"")</f>
        <v>Beban gaji tukang</v>
      </c>
      <c r="G345" s="204"/>
      <c r="H345" s="204">
        <v>600000</v>
      </c>
    </row>
    <row r="346" spans="2:8" ht="15.75" customHeight="1" x14ac:dyDescent="0.2">
      <c r="B346" s="30" t="s">
        <v>569</v>
      </c>
      <c r="C346" s="198"/>
      <c r="D346" s="202" t="s">
        <v>418</v>
      </c>
      <c r="E346" s="200">
        <v>5108</v>
      </c>
      <c r="F346" s="24" t="str">
        <f t="array" ref="F346">IFERROR(INDEX(COA!$C$5:$C$59,MATCH(JURNAL!E346,COA!$B$5:$B$59,0)),"")</f>
        <v>Beban gaji tukang</v>
      </c>
      <c r="G346" s="204"/>
      <c r="H346" s="204">
        <v>500000</v>
      </c>
    </row>
    <row r="347" spans="2:8" ht="15.75" customHeight="1" x14ac:dyDescent="0.2">
      <c r="B347" s="30" t="s">
        <v>569</v>
      </c>
      <c r="C347" s="198"/>
      <c r="D347" s="202" t="s">
        <v>409</v>
      </c>
      <c r="E347" s="200">
        <v>5108</v>
      </c>
      <c r="F347" s="24" t="str">
        <f t="array" ref="F347">IFERROR(INDEX(COA!$C$5:$C$59,MATCH(JURNAL!E347,COA!$B$5:$B$59,0)),"")</f>
        <v>Beban gaji tukang</v>
      </c>
      <c r="G347" s="204"/>
      <c r="H347" s="204">
        <v>500000</v>
      </c>
    </row>
    <row r="348" spans="2:8" ht="15.75" customHeight="1" x14ac:dyDescent="0.2">
      <c r="B348" s="30" t="s">
        <v>569</v>
      </c>
      <c r="C348" s="198"/>
      <c r="D348" s="202" t="s">
        <v>577</v>
      </c>
      <c r="E348" s="200">
        <v>5108</v>
      </c>
      <c r="F348" s="24" t="str">
        <f t="array" ref="F348">IFERROR(INDEX(COA!$C$5:$C$59,MATCH(JURNAL!E348,COA!$B$5:$B$59,0)),"")</f>
        <v>Beban gaji tukang</v>
      </c>
      <c r="G348" s="204"/>
      <c r="H348" s="204">
        <v>500000</v>
      </c>
    </row>
    <row r="349" spans="2:8" ht="15.75" customHeight="1" x14ac:dyDescent="0.2">
      <c r="B349" s="30" t="s">
        <v>569</v>
      </c>
      <c r="C349" s="198"/>
      <c r="D349" s="202" t="s">
        <v>578</v>
      </c>
      <c r="E349" s="200">
        <v>5108</v>
      </c>
      <c r="F349" s="24" t="str">
        <f t="array" ref="F349">IFERROR(INDEX(COA!$C$5:$C$59,MATCH(JURNAL!E349,COA!$B$5:$B$59,0)),"")</f>
        <v>Beban gaji tukang</v>
      </c>
      <c r="G349" s="204"/>
      <c r="H349" s="204">
        <v>289333</v>
      </c>
    </row>
    <row r="350" spans="2:8" ht="15.75" customHeight="1" x14ac:dyDescent="0.2">
      <c r="B350" s="30" t="s">
        <v>569</v>
      </c>
      <c r="C350" s="198"/>
      <c r="D350" s="202" t="s">
        <v>579</v>
      </c>
      <c r="E350" s="200">
        <v>5108</v>
      </c>
      <c r="F350" s="24" t="str">
        <f t="array" ref="F350">IFERROR(INDEX(COA!$C$5:$C$59,MATCH(JURNAL!E350,COA!$B$5:$B$59,0)),"")</f>
        <v>Beban gaji tukang</v>
      </c>
      <c r="G350" s="204"/>
      <c r="H350" s="204">
        <v>500000</v>
      </c>
    </row>
    <row r="351" spans="2:8" ht="15.75" customHeight="1" x14ac:dyDescent="0.2">
      <c r="B351" s="30" t="s">
        <v>569</v>
      </c>
      <c r="C351" s="198"/>
      <c r="D351" s="202" t="s">
        <v>580</v>
      </c>
      <c r="E351" s="200">
        <v>5108</v>
      </c>
      <c r="F351" s="24" t="str">
        <f t="array" ref="F351">IFERROR(INDEX(COA!$C$5:$C$59,MATCH(JURNAL!E351,COA!$B$5:$B$59,0)),"")</f>
        <v>Beban gaji tukang</v>
      </c>
      <c r="G351" s="204"/>
      <c r="H351" s="204">
        <v>100000</v>
      </c>
    </row>
    <row r="352" spans="2:8" ht="15.75" customHeight="1" x14ac:dyDescent="0.2">
      <c r="B352" s="30" t="s">
        <v>569</v>
      </c>
      <c r="C352" s="198"/>
      <c r="D352" s="202" t="s">
        <v>581</v>
      </c>
      <c r="E352" s="200">
        <v>5108</v>
      </c>
      <c r="F352" s="24" t="str">
        <f t="array" ref="F352">IFERROR(INDEX(COA!$C$5:$C$59,MATCH(JURNAL!E352,COA!$B$5:$B$59,0)),"")</f>
        <v>Beban gaji tukang</v>
      </c>
      <c r="G352" s="204"/>
      <c r="H352" s="204">
        <v>100000</v>
      </c>
    </row>
    <row r="353" spans="2:8" ht="15.75" customHeight="1" x14ac:dyDescent="0.2">
      <c r="B353" s="30" t="s">
        <v>569</v>
      </c>
      <c r="C353" s="198"/>
      <c r="D353" s="202" t="s">
        <v>582</v>
      </c>
      <c r="E353" s="200">
        <v>5102</v>
      </c>
      <c r="F353" s="24" t="str">
        <f t="array" ref="F353">IFERROR(INDEX(COA!$C$5:$C$59,MATCH(JURNAL!E353,COA!$B$5:$B$59,0)),"")</f>
        <v>Beban Gaji Workshop</v>
      </c>
      <c r="G353" s="204"/>
      <c r="H353" s="204">
        <v>416667</v>
      </c>
    </row>
    <row r="354" spans="2:8" ht="15.75" customHeight="1" x14ac:dyDescent="0.2">
      <c r="B354" s="30" t="s">
        <v>569</v>
      </c>
      <c r="C354" s="198"/>
      <c r="D354" s="202" t="s">
        <v>583</v>
      </c>
      <c r="E354" s="200">
        <v>5102</v>
      </c>
      <c r="F354" s="24" t="str">
        <f t="array" ref="F354">IFERROR(INDEX(COA!$C$5:$C$59,MATCH(JURNAL!E354,COA!$B$5:$B$59,0)),"")</f>
        <v>Beban Gaji Workshop</v>
      </c>
      <c r="G354" s="204"/>
      <c r="H354" s="204">
        <v>416667</v>
      </c>
    </row>
    <row r="355" spans="2:8" ht="15.75" customHeight="1" x14ac:dyDescent="0.2">
      <c r="B355" s="30" t="s">
        <v>569</v>
      </c>
      <c r="C355" s="198"/>
      <c r="D355" s="202" t="s">
        <v>351</v>
      </c>
      <c r="E355" s="200"/>
      <c r="F355" s="24" t="str">
        <f t="array" ref="F355">IFERROR(INDEX(COA!$C$5:$C$59,MATCH(JURNAL!E355,COA!$B$5:$B$59,0)),"")</f>
        <v/>
      </c>
      <c r="G355" s="204"/>
      <c r="H355" s="204">
        <v>201000</v>
      </c>
    </row>
    <row r="356" spans="2:8" ht="15.75" customHeight="1" x14ac:dyDescent="0.2">
      <c r="B356" s="30" t="s">
        <v>569</v>
      </c>
      <c r="C356" s="198"/>
      <c r="D356" s="202" t="s">
        <v>379</v>
      </c>
      <c r="E356" s="200">
        <v>5450</v>
      </c>
      <c r="F356" s="24" t="str">
        <f t="array" ref="F356">IFERROR(INDEX(COA!$C$5:$C$59,MATCH(JURNAL!E356,COA!$B$5:$B$59,0)),"")</f>
        <v>WA API</v>
      </c>
      <c r="G356" s="204"/>
      <c r="H356" s="204">
        <v>907600</v>
      </c>
    </row>
    <row r="357" spans="2:8" ht="15.75" customHeight="1" x14ac:dyDescent="0.2">
      <c r="B357" s="30" t="s">
        <v>569</v>
      </c>
      <c r="C357" s="198"/>
      <c r="D357" s="202" t="s">
        <v>584</v>
      </c>
      <c r="E357" s="200">
        <v>5310</v>
      </c>
      <c r="F357" s="24" t="str">
        <f t="array" ref="F357">IFERROR(INDEX(COA!$C$5:$C$59,MATCH(JURNAL!E357,COA!$B$5:$B$59,0)),"")</f>
        <v>Biaya ekspedisi &amp; ongkir</v>
      </c>
      <c r="G357" s="204"/>
      <c r="H357" s="204">
        <v>8912774</v>
      </c>
    </row>
    <row r="358" spans="2:8" ht="15.75" customHeight="1" x14ac:dyDescent="0.2">
      <c r="B358" s="30" t="s">
        <v>569</v>
      </c>
      <c r="C358" s="198"/>
      <c r="D358" s="202" t="s">
        <v>349</v>
      </c>
      <c r="E358" s="200">
        <v>5440</v>
      </c>
      <c r="F358" s="24" t="str">
        <f t="array" ref="F358">IFERROR(INDEX(COA!$C$5:$C$59,MATCH(JURNAL!E358,COA!$B$5:$B$59,0)),"")</f>
        <v>ADS</v>
      </c>
      <c r="G358" s="204"/>
      <c r="H358" s="204">
        <v>2000000</v>
      </c>
    </row>
    <row r="359" spans="2:8" ht="15.75" customHeight="1" x14ac:dyDescent="0.2">
      <c r="B359" s="30" t="s">
        <v>569</v>
      </c>
      <c r="C359" s="198"/>
      <c r="D359" s="203" t="s">
        <v>351</v>
      </c>
      <c r="E359" s="200"/>
      <c r="F359" s="24" t="str">
        <f t="array" ref="F359">IFERROR(INDEX(COA!$C$5:$C$59,MATCH(JURNAL!E359,COA!$B$5:$B$59,0)),"")</f>
        <v/>
      </c>
      <c r="G359" s="204"/>
      <c r="H359" s="204">
        <v>300000</v>
      </c>
    </row>
    <row r="360" spans="2:8" ht="15.75" customHeight="1" x14ac:dyDescent="0.2">
      <c r="B360" s="30" t="s">
        <v>569</v>
      </c>
      <c r="C360" s="198"/>
      <c r="D360" s="202" t="s">
        <v>422</v>
      </c>
      <c r="E360" s="200">
        <v>5510</v>
      </c>
      <c r="F360" s="24" t="str">
        <f t="array" ref="F360">IFERROR(INDEX(COA!$C$5:$C$59,MATCH(JURNAL!E360,COA!$B$5:$B$59,0)),"")</f>
        <v>Beban Listrik Workshop</v>
      </c>
      <c r="G360" s="204"/>
      <c r="H360" s="204">
        <v>103000</v>
      </c>
    </row>
    <row r="361" spans="2:8" ht="15.75" customHeight="1" x14ac:dyDescent="0.2">
      <c r="B361" s="30" t="s">
        <v>569</v>
      </c>
      <c r="C361" s="198"/>
      <c r="D361" s="202" t="s">
        <v>585</v>
      </c>
      <c r="E361" s="200">
        <v>5200</v>
      </c>
      <c r="F361" s="24" t="str">
        <f t="array" ref="F361">IFERROR(INDEX(COA!$C$5:$C$59,MATCH(JURNAL!E361,COA!$B$5:$B$59,0)),"")</f>
        <v xml:space="preserve">Konsumsi lembur &amp; Meeting </v>
      </c>
      <c r="G361" s="204"/>
      <c r="H361" s="204">
        <v>28000</v>
      </c>
    </row>
    <row r="362" spans="2:8" ht="15.75" customHeight="1" x14ac:dyDescent="0.2">
      <c r="B362" s="30" t="s">
        <v>569</v>
      </c>
      <c r="C362" s="198"/>
      <c r="D362" s="202" t="s">
        <v>586</v>
      </c>
      <c r="E362" s="200">
        <v>5200</v>
      </c>
      <c r="F362" s="24" t="str">
        <f t="array" ref="F362">IFERROR(INDEX(COA!$C$5:$C$59,MATCH(JURNAL!E362,COA!$B$5:$B$59,0)),"")</f>
        <v xml:space="preserve">Konsumsi lembur &amp; Meeting </v>
      </c>
      <c r="G362" s="204"/>
      <c r="H362" s="204">
        <v>90000</v>
      </c>
    </row>
    <row r="363" spans="2:8" ht="15.75" customHeight="1" x14ac:dyDescent="0.2">
      <c r="B363" s="30" t="s">
        <v>569</v>
      </c>
      <c r="C363" s="198"/>
      <c r="D363" s="203" t="s">
        <v>587</v>
      </c>
      <c r="E363" s="200">
        <v>5310</v>
      </c>
      <c r="F363" s="24" t="str">
        <f t="array" ref="F363">IFERROR(INDEX(COA!$C$5:$C$59,MATCH(JURNAL!E363,COA!$B$5:$B$59,0)),"")</f>
        <v>Biaya ekspedisi &amp; ongkir</v>
      </c>
      <c r="G363" s="204"/>
      <c r="H363" s="204">
        <v>30500</v>
      </c>
    </row>
    <row r="364" spans="2:8" ht="15.75" customHeight="1" x14ac:dyDescent="0.2">
      <c r="B364" s="30" t="s">
        <v>569</v>
      </c>
      <c r="C364" s="198"/>
      <c r="D364" s="202" t="s">
        <v>588</v>
      </c>
      <c r="E364" s="200">
        <v>5310</v>
      </c>
      <c r="F364" s="24" t="str">
        <f t="array" ref="F364">IFERROR(INDEX(COA!$C$5:$C$59,MATCH(JURNAL!E364,COA!$B$5:$B$59,0)),"")</f>
        <v>Biaya ekspedisi &amp; ongkir</v>
      </c>
      <c r="G364" s="204"/>
      <c r="H364" s="204">
        <v>20500</v>
      </c>
    </row>
    <row r="365" spans="2:8" ht="15.75" customHeight="1" x14ac:dyDescent="0.2">
      <c r="B365" s="30" t="s">
        <v>569</v>
      </c>
      <c r="C365" s="198"/>
      <c r="D365" s="202" t="s">
        <v>589</v>
      </c>
      <c r="E365" s="200">
        <v>5310</v>
      </c>
      <c r="F365" s="24" t="str">
        <f t="array" ref="F365">IFERROR(INDEX(COA!$C$5:$C$59,MATCH(JURNAL!E365,COA!$B$5:$B$59,0)),"")</f>
        <v>Biaya ekspedisi &amp; ongkir</v>
      </c>
      <c r="G365" s="204"/>
      <c r="H365" s="204">
        <v>12500</v>
      </c>
    </row>
    <row r="366" spans="2:8" ht="15.75" customHeight="1" x14ac:dyDescent="0.2">
      <c r="B366" s="30" t="s">
        <v>569</v>
      </c>
      <c r="C366" s="198"/>
      <c r="D366" s="202" t="s">
        <v>590</v>
      </c>
      <c r="E366" s="200">
        <v>5310</v>
      </c>
      <c r="F366" s="24" t="str">
        <f t="array" ref="F366">IFERROR(INDEX(COA!$C$5:$C$59,MATCH(JURNAL!E366,COA!$B$5:$B$59,0)),"")</f>
        <v>Biaya ekspedisi &amp; ongkir</v>
      </c>
      <c r="G366" s="204"/>
      <c r="H366" s="204">
        <v>56000</v>
      </c>
    </row>
    <row r="367" spans="2:8" ht="15.75" customHeight="1" x14ac:dyDescent="0.2">
      <c r="B367" s="30" t="s">
        <v>569</v>
      </c>
      <c r="C367" s="198"/>
      <c r="D367" s="202" t="s">
        <v>591</v>
      </c>
      <c r="E367" s="200">
        <v>5310</v>
      </c>
      <c r="F367" s="24" t="str">
        <f t="array" ref="F367">IFERROR(INDEX(COA!$C$5:$C$59,MATCH(JURNAL!E367,COA!$B$5:$B$59,0)),"")</f>
        <v>Biaya ekspedisi &amp; ongkir</v>
      </c>
      <c r="G367" s="204"/>
      <c r="H367" s="204">
        <v>49000</v>
      </c>
    </row>
    <row r="368" spans="2:8" ht="15.75" customHeight="1" x14ac:dyDescent="0.2">
      <c r="B368" s="30" t="s">
        <v>592</v>
      </c>
      <c r="C368" s="24"/>
      <c r="D368" s="61" t="s">
        <v>291</v>
      </c>
      <c r="E368" s="24">
        <v>4110</v>
      </c>
      <c r="F368" s="24" t="str">
        <f t="array" ref="F368">IFERROR(INDEX(COA!$C$5:$C$59,MATCH(JURNAL!E368,COA!$B$5:$B$59,0)),"")</f>
        <v>Pendapatan jasa</v>
      </c>
      <c r="G368" s="204">
        <v>5101681</v>
      </c>
      <c r="H368" s="204"/>
    </row>
    <row r="369" spans="2:8" ht="15.75" customHeight="1" x14ac:dyDescent="0.2">
      <c r="B369" s="30" t="s">
        <v>592</v>
      </c>
      <c r="C369" s="198"/>
      <c r="D369" s="202" t="s">
        <v>422</v>
      </c>
      <c r="E369" s="200">
        <v>5510</v>
      </c>
      <c r="F369" s="24" t="str">
        <f t="array" ref="F369">IFERROR(INDEX(COA!$C$5:$C$59,MATCH(JURNAL!E369,COA!$B$5:$B$59,0)),"")</f>
        <v>Beban Listrik Workshop</v>
      </c>
      <c r="G369" s="204"/>
      <c r="H369" s="204">
        <v>105000</v>
      </c>
    </row>
    <row r="370" spans="2:8" ht="15.75" customHeight="1" x14ac:dyDescent="0.2">
      <c r="B370" s="30" t="s">
        <v>592</v>
      </c>
      <c r="C370" s="198"/>
      <c r="D370" s="202" t="s">
        <v>593</v>
      </c>
      <c r="E370" s="200">
        <v>5108</v>
      </c>
      <c r="F370" s="24" t="str">
        <f t="array" ref="F370">IFERROR(INDEX(COA!$C$5:$C$59,MATCH(JURNAL!E370,COA!$B$5:$B$59,0)),"")</f>
        <v>Beban gaji tukang</v>
      </c>
      <c r="G370" s="204"/>
      <c r="H370" s="204">
        <v>858333</v>
      </c>
    </row>
    <row r="371" spans="2:8" ht="15.75" customHeight="1" x14ac:dyDescent="0.2">
      <c r="B371" s="30" t="s">
        <v>594</v>
      </c>
      <c r="C371" s="24"/>
      <c r="D371" s="201" t="s">
        <v>291</v>
      </c>
      <c r="E371" s="24">
        <v>4110</v>
      </c>
      <c r="F371" s="24" t="str">
        <f t="array" ref="F371">IFERROR(INDEX(COA!$C$5:$C$59,MATCH(JURNAL!E371,COA!$B$5:$B$59,0)),"")</f>
        <v>Pendapatan jasa</v>
      </c>
      <c r="G371" s="204">
        <v>9611144</v>
      </c>
      <c r="H371" s="204"/>
    </row>
    <row r="372" spans="2:8" ht="15.75" customHeight="1" x14ac:dyDescent="0.2">
      <c r="B372" s="30" t="s">
        <v>594</v>
      </c>
      <c r="C372" s="24"/>
      <c r="D372" s="205" t="s">
        <v>229</v>
      </c>
      <c r="E372" s="24">
        <v>4120</v>
      </c>
      <c r="F372" s="24" t="str">
        <f t="array" ref="F372">IFERROR(INDEX(COA!$C$5:$C$59,MATCH(JURNAL!E372,COA!$B$5:$B$59,0)),"")</f>
        <v>pendapatan shoepolice</v>
      </c>
      <c r="G372" s="204">
        <v>16030556</v>
      </c>
      <c r="H372" s="204"/>
    </row>
    <row r="373" spans="2:8" ht="15.75" customHeight="1" x14ac:dyDescent="0.2">
      <c r="B373" s="30" t="s">
        <v>594</v>
      </c>
      <c r="C373" s="198"/>
      <c r="D373" s="202" t="s">
        <v>359</v>
      </c>
      <c r="E373" s="200">
        <v>5030</v>
      </c>
      <c r="F373" s="24" t="str">
        <f t="array" ref="F373">IFERROR(INDEX(COA!$C$5:$C$59,MATCH(JURNAL!E373,COA!$B$5:$B$59,0)),"")</f>
        <v>Hpp reguler</v>
      </c>
      <c r="G373" s="204"/>
      <c r="H373" s="204">
        <v>970000</v>
      </c>
    </row>
    <row r="374" spans="2:8" ht="15.75" customHeight="1" x14ac:dyDescent="0.2">
      <c r="B374" s="30" t="s">
        <v>594</v>
      </c>
      <c r="C374" s="198"/>
      <c r="D374" s="202" t="s">
        <v>367</v>
      </c>
      <c r="E374" s="200">
        <v>5030</v>
      </c>
      <c r="F374" s="24" t="str">
        <f t="array" ref="F374">IFERROR(INDEX(COA!$C$5:$C$59,MATCH(JURNAL!E374,COA!$B$5:$B$59,0)),"")</f>
        <v>Hpp reguler</v>
      </c>
      <c r="G374" s="204"/>
      <c r="H374" s="204">
        <v>25000</v>
      </c>
    </row>
    <row r="375" spans="2:8" ht="15.75" customHeight="1" x14ac:dyDescent="0.2">
      <c r="B375" s="30" t="s">
        <v>594</v>
      </c>
      <c r="C375" s="198"/>
      <c r="D375" s="202" t="s">
        <v>362</v>
      </c>
      <c r="E375" s="200">
        <v>5030</v>
      </c>
      <c r="F375" s="24" t="str">
        <f t="array" ref="F375">IFERROR(INDEX(COA!$C$5:$C$59,MATCH(JURNAL!E375,COA!$B$5:$B$59,0)),"")</f>
        <v>Hpp reguler</v>
      </c>
      <c r="G375" s="204"/>
      <c r="H375" s="204">
        <v>384097</v>
      </c>
    </row>
    <row r="376" spans="2:8" ht="15.75" customHeight="1" x14ac:dyDescent="0.2">
      <c r="B376" s="30" t="s">
        <v>594</v>
      </c>
      <c r="C376" s="198"/>
      <c r="D376" s="202" t="s">
        <v>361</v>
      </c>
      <c r="E376" s="200">
        <v>5020</v>
      </c>
      <c r="F376" s="24" t="str">
        <f t="array" ref="F376">IFERROR(INDEX(COA!$C$5:$C$59,MATCH(JURNAL!E376,COA!$B$5:$B$59,0)),"")</f>
        <v>Hpp upper</v>
      </c>
      <c r="G376" s="204"/>
      <c r="H376" s="204">
        <v>131500</v>
      </c>
    </row>
    <row r="377" spans="2:8" ht="15.75" customHeight="1" x14ac:dyDescent="0.2">
      <c r="B377" s="30" t="s">
        <v>594</v>
      </c>
      <c r="C377" s="198"/>
      <c r="D377" s="202" t="s">
        <v>434</v>
      </c>
      <c r="E377" s="200">
        <v>5020</v>
      </c>
      <c r="F377" s="24" t="str">
        <f t="array" ref="F377">IFERROR(INDEX(COA!$C$5:$C$59,MATCH(JURNAL!E377,COA!$B$5:$B$59,0)),"")</f>
        <v>Hpp upper</v>
      </c>
      <c r="G377" s="204"/>
      <c r="H377" s="204">
        <v>819000</v>
      </c>
    </row>
    <row r="378" spans="2:8" ht="15.75" customHeight="1" x14ac:dyDescent="0.2">
      <c r="B378" s="30" t="s">
        <v>594</v>
      </c>
      <c r="C378" s="198"/>
      <c r="D378" s="202" t="s">
        <v>595</v>
      </c>
      <c r="E378" s="200">
        <v>5010</v>
      </c>
      <c r="F378" s="24" t="str">
        <f t="array" ref="F378">IFERROR(INDEX(COA!$C$5:$C$59,MATCH(JURNAL!E378,COA!$B$5:$B$59,0)),"")</f>
        <v>Hpp sole</v>
      </c>
      <c r="G378" s="204"/>
      <c r="H378" s="204">
        <v>12000</v>
      </c>
    </row>
    <row r="379" spans="2:8" ht="15.75" customHeight="1" x14ac:dyDescent="0.2">
      <c r="B379" s="30" t="s">
        <v>594</v>
      </c>
      <c r="C379" s="198"/>
      <c r="D379" s="202" t="s">
        <v>596</v>
      </c>
      <c r="E379" s="200">
        <v>6050</v>
      </c>
      <c r="F379" s="24" t="str">
        <f t="array" ref="F379">IFERROR(INDEX(COA!$C$5:$C$59,MATCH(JURNAL!E379,COA!$B$5:$B$59,0)),"")</f>
        <v/>
      </c>
      <c r="G379" s="204"/>
      <c r="H379" s="204">
        <v>200000</v>
      </c>
    </row>
    <row r="380" spans="2:8" ht="15.75" customHeight="1" x14ac:dyDescent="0.2">
      <c r="B380" s="30" t="s">
        <v>594</v>
      </c>
      <c r="C380" s="198"/>
      <c r="D380" s="202" t="s">
        <v>597</v>
      </c>
      <c r="E380" s="200">
        <v>6070</v>
      </c>
      <c r="F380" s="24" t="str">
        <f t="array" ref="F380">IFERROR(INDEX(COA!$C$5:$C$59,MATCH(JURNAL!E380,COA!$B$5:$B$59,0)),"")</f>
        <v/>
      </c>
      <c r="G380" s="204"/>
      <c r="H380" s="204">
        <v>400000</v>
      </c>
    </row>
    <row r="381" spans="2:8" ht="15.75" customHeight="1" x14ac:dyDescent="0.2">
      <c r="B381" s="30" t="s">
        <v>594</v>
      </c>
      <c r="C381" s="198"/>
      <c r="D381" s="202" t="s">
        <v>349</v>
      </c>
      <c r="E381" s="200">
        <v>5440</v>
      </c>
      <c r="F381" s="24" t="str">
        <f t="array" ref="F381">IFERROR(INDEX(COA!$C$5:$C$59,MATCH(JURNAL!E381,COA!$B$5:$B$59,0)),"")</f>
        <v>ADS</v>
      </c>
      <c r="G381" s="204"/>
      <c r="H381" s="204">
        <v>2000000</v>
      </c>
    </row>
    <row r="382" spans="2:8" ht="15.75" customHeight="1" x14ac:dyDescent="0.2">
      <c r="B382" s="30" t="s">
        <v>594</v>
      </c>
      <c r="C382" s="198"/>
      <c r="D382" s="202" t="s">
        <v>424</v>
      </c>
      <c r="E382" s="200"/>
      <c r="F382" s="24" t="str">
        <f t="array" ref="F382">IFERROR(INDEX(COA!$C$5:$C$59,MATCH(JURNAL!E382,COA!$B$5:$B$59,0)),"")</f>
        <v/>
      </c>
      <c r="G382" s="204"/>
      <c r="H382" s="204">
        <v>2000000</v>
      </c>
    </row>
    <row r="383" spans="2:8" ht="15.75" customHeight="1" x14ac:dyDescent="0.2">
      <c r="B383" s="30" t="s">
        <v>594</v>
      </c>
      <c r="C383" s="198"/>
      <c r="D383" s="202" t="s">
        <v>351</v>
      </c>
      <c r="E383" s="200"/>
      <c r="F383" s="24" t="str">
        <f t="array" ref="F383">IFERROR(INDEX(COA!$C$5:$C$59,MATCH(JURNAL!E383,COA!$B$5:$B$59,0)),"")</f>
        <v/>
      </c>
      <c r="G383" s="204"/>
      <c r="H383" s="204">
        <v>151000</v>
      </c>
    </row>
    <row r="384" spans="2:8" ht="15.75" customHeight="1" x14ac:dyDescent="0.2">
      <c r="B384" s="30" t="s">
        <v>594</v>
      </c>
      <c r="C384" s="198"/>
      <c r="D384" s="202" t="s">
        <v>598</v>
      </c>
      <c r="E384" s="200">
        <v>4170</v>
      </c>
      <c r="F384" s="24" t="str">
        <f t="array" ref="F384">IFERROR(INDEX(COA!$C$5:$C$59,MATCH(JURNAL!E384,COA!$B$5:$B$59,0)),"")</f>
        <v>Retur &amp; Refund</v>
      </c>
      <c r="G384" s="204"/>
      <c r="H384" s="204">
        <v>875000</v>
      </c>
    </row>
    <row r="385" spans="2:8" ht="15.75" customHeight="1" x14ac:dyDescent="0.2">
      <c r="B385" s="30" t="s">
        <v>594</v>
      </c>
      <c r="C385" s="198"/>
      <c r="D385" s="202" t="s">
        <v>599</v>
      </c>
      <c r="E385" s="200">
        <v>6070</v>
      </c>
      <c r="F385" s="24" t="str">
        <f t="array" ref="F385">IFERROR(INDEX(COA!$C$5:$C$59,MATCH(JURNAL!E385,COA!$B$5:$B$59,0)),"")</f>
        <v/>
      </c>
      <c r="G385" s="204"/>
      <c r="H385" s="204">
        <v>1600000</v>
      </c>
    </row>
    <row r="386" spans="2:8" ht="15.75" customHeight="1" x14ac:dyDescent="0.2">
      <c r="B386" s="30" t="s">
        <v>600</v>
      </c>
      <c r="C386" s="24"/>
      <c r="D386" s="201" t="s">
        <v>291</v>
      </c>
      <c r="E386" s="24">
        <v>4110</v>
      </c>
      <c r="F386" s="24" t="str">
        <f t="array" ref="F386">IFERROR(INDEX(COA!$C$5:$C$59,MATCH(JURNAL!E386,COA!$B$5:$B$59,0)),"")</f>
        <v>Pendapatan jasa</v>
      </c>
      <c r="G386" s="204">
        <v>10481574</v>
      </c>
      <c r="H386" s="204"/>
    </row>
    <row r="387" spans="2:8" ht="15.75" customHeight="1" x14ac:dyDescent="0.2">
      <c r="B387" s="30" t="s">
        <v>600</v>
      </c>
      <c r="C387" s="24"/>
      <c r="D387" s="24" t="s">
        <v>229</v>
      </c>
      <c r="E387" s="24">
        <v>4120</v>
      </c>
      <c r="F387" s="24" t="str">
        <f t="array" ref="F387">IFERROR(INDEX(COA!$C$5:$C$59,MATCH(JURNAL!E387,COA!$B$5:$B$59,0)),"")</f>
        <v>pendapatan shoepolice</v>
      </c>
      <c r="G387" s="204">
        <v>5000000</v>
      </c>
      <c r="H387" s="204"/>
    </row>
    <row r="388" spans="2:8" ht="15.75" customHeight="1" x14ac:dyDescent="0.2">
      <c r="B388" s="30" t="s">
        <v>600</v>
      </c>
      <c r="C388" s="24"/>
      <c r="D388" s="205" t="s">
        <v>459</v>
      </c>
      <c r="E388" s="24">
        <v>4140</v>
      </c>
      <c r="F388" s="24" t="str">
        <f t="array" ref="F388">IFERROR(INDEX(COA!$C$5:$C$59,MATCH(JURNAL!E388,COA!$B$5:$B$59,0)),"")</f>
        <v>pendapatan jasa eiger</v>
      </c>
      <c r="G388" s="204">
        <v>879000</v>
      </c>
      <c r="H388" s="204"/>
    </row>
    <row r="389" spans="2:8" ht="15.75" customHeight="1" x14ac:dyDescent="0.2">
      <c r="B389" s="30" t="s">
        <v>600</v>
      </c>
      <c r="C389" s="198"/>
      <c r="D389" s="202" t="s">
        <v>351</v>
      </c>
      <c r="E389" s="200"/>
      <c r="F389" s="24" t="str">
        <f t="array" ref="F389">IFERROR(INDEX(COA!$C$5:$C$59,MATCH(JURNAL!E389,COA!$B$5:$B$59,0)),"")</f>
        <v/>
      </c>
      <c r="G389" s="204"/>
      <c r="H389" s="204">
        <v>100000</v>
      </c>
    </row>
    <row r="390" spans="2:8" ht="15.75" customHeight="1" x14ac:dyDescent="0.2">
      <c r="B390" s="30" t="s">
        <v>600</v>
      </c>
      <c r="C390" s="198"/>
      <c r="D390" s="202" t="s">
        <v>379</v>
      </c>
      <c r="E390" s="200">
        <v>5450</v>
      </c>
      <c r="F390" s="24" t="str">
        <f t="array" ref="F390">IFERROR(INDEX(COA!$C$5:$C$59,MATCH(JURNAL!E390,COA!$B$5:$B$59,0)),"")</f>
        <v>WA API</v>
      </c>
      <c r="G390" s="204"/>
      <c r="H390" s="204">
        <v>907600</v>
      </c>
    </row>
    <row r="391" spans="2:8" ht="15.75" customHeight="1" x14ac:dyDescent="0.2">
      <c r="B391" s="30" t="s">
        <v>600</v>
      </c>
      <c r="C391" s="198"/>
      <c r="D391" s="202" t="s">
        <v>349</v>
      </c>
      <c r="E391" s="200">
        <v>5440</v>
      </c>
      <c r="F391" s="24" t="str">
        <f t="array" ref="F391">IFERROR(INDEX(COA!$C$5:$C$59,MATCH(JURNAL!E391,COA!$B$5:$B$59,0)),"")</f>
        <v>ADS</v>
      </c>
      <c r="G391" s="204"/>
      <c r="H391" s="204">
        <v>2000000</v>
      </c>
    </row>
    <row r="392" spans="2:8" ht="15.75" customHeight="1" x14ac:dyDescent="0.2">
      <c r="B392" s="30" t="s">
        <v>600</v>
      </c>
      <c r="C392" s="198"/>
      <c r="D392" s="202" t="s">
        <v>601</v>
      </c>
      <c r="E392" s="200">
        <v>5300</v>
      </c>
      <c r="F392" s="24" t="str">
        <f t="array" ref="F392">IFERROR(INDEX(COA!$C$5:$C$59,MATCH(JURNAL!E392,COA!$B$5:$B$59,0)),"")</f>
        <v>Biaya packaging</v>
      </c>
      <c r="G392" s="204"/>
      <c r="H392" s="204">
        <v>452900</v>
      </c>
    </row>
    <row r="393" spans="2:8" ht="15.75" customHeight="1" x14ac:dyDescent="0.2">
      <c r="B393" s="30" t="s">
        <v>600</v>
      </c>
      <c r="C393" s="198"/>
      <c r="D393" s="202" t="s">
        <v>602</v>
      </c>
      <c r="E393" s="200">
        <v>5300</v>
      </c>
      <c r="F393" s="24" t="str">
        <f t="array" ref="F393">IFERROR(INDEX(COA!$C$5:$C$59,MATCH(JURNAL!E393,COA!$B$5:$B$59,0)),"")</f>
        <v>Biaya packaging</v>
      </c>
      <c r="G393" s="204"/>
      <c r="H393" s="204">
        <v>62500</v>
      </c>
    </row>
    <row r="394" spans="2:8" ht="15.75" customHeight="1" x14ac:dyDescent="0.2">
      <c r="B394" s="30" t="s">
        <v>600</v>
      </c>
      <c r="C394" s="198"/>
      <c r="D394" s="202" t="s">
        <v>603</v>
      </c>
      <c r="E394" s="200">
        <v>6100</v>
      </c>
      <c r="F394" s="24" t="str">
        <f t="array" ref="F394">IFERROR(INDEX(COA!$C$5:$C$59,MATCH(JURNAL!E394,COA!$B$5:$B$59,0)),"")</f>
        <v/>
      </c>
      <c r="G394" s="204"/>
      <c r="H394" s="204">
        <v>283500</v>
      </c>
    </row>
    <row r="395" spans="2:8" ht="15.75" customHeight="1" x14ac:dyDescent="0.2">
      <c r="B395" s="30" t="s">
        <v>600</v>
      </c>
      <c r="C395" s="198"/>
      <c r="D395" s="202" t="s">
        <v>604</v>
      </c>
      <c r="E395" s="200"/>
      <c r="F395" s="24" t="str">
        <f t="array" ref="F395">IFERROR(INDEX(COA!$C$5:$C$59,MATCH(JURNAL!E395,COA!$B$5:$B$59,0)),"")</f>
        <v/>
      </c>
      <c r="G395" s="204"/>
      <c r="H395" s="204">
        <v>14000</v>
      </c>
    </row>
    <row r="396" spans="2:8" ht="15.75" customHeight="1" x14ac:dyDescent="0.2">
      <c r="B396" s="30" t="s">
        <v>600</v>
      </c>
      <c r="C396" s="198"/>
      <c r="D396" s="202" t="s">
        <v>605</v>
      </c>
      <c r="E396" s="200">
        <v>6100</v>
      </c>
      <c r="F396" s="24" t="str">
        <f t="array" ref="F396">IFERROR(INDEX(COA!$C$5:$C$59,MATCH(JURNAL!E396,COA!$B$5:$B$59,0)),"")</f>
        <v/>
      </c>
      <c r="G396" s="204"/>
      <c r="H396" s="204">
        <v>408800</v>
      </c>
    </row>
    <row r="397" spans="2:8" ht="15.75" customHeight="1" x14ac:dyDescent="0.2">
      <c r="B397" s="30" t="s">
        <v>600</v>
      </c>
      <c r="C397" s="198"/>
      <c r="D397" s="202" t="s">
        <v>422</v>
      </c>
      <c r="E397" s="200">
        <v>5510</v>
      </c>
      <c r="F397" s="24" t="str">
        <f t="array" ref="F397">IFERROR(INDEX(COA!$C$5:$C$59,MATCH(JURNAL!E397,COA!$B$5:$B$59,0)),"")</f>
        <v>Beban Listrik Workshop</v>
      </c>
      <c r="G397" s="204"/>
      <c r="H397" s="204">
        <v>504000</v>
      </c>
    </row>
    <row r="398" spans="2:8" ht="15.75" customHeight="1" x14ac:dyDescent="0.2">
      <c r="B398" s="30" t="s">
        <v>600</v>
      </c>
      <c r="C398" s="198"/>
      <c r="D398" s="202" t="s">
        <v>606</v>
      </c>
      <c r="E398" s="200">
        <v>6100</v>
      </c>
      <c r="F398" s="24" t="str">
        <f t="array" ref="F398">IFERROR(INDEX(COA!$C$5:$C$59,MATCH(JURNAL!E398,COA!$B$5:$B$59,0)),"")</f>
        <v/>
      </c>
      <c r="G398" s="204"/>
      <c r="H398" s="204">
        <v>24000</v>
      </c>
    </row>
    <row r="399" spans="2:8" ht="15.75" customHeight="1" x14ac:dyDescent="0.2">
      <c r="B399" s="30" t="s">
        <v>600</v>
      </c>
      <c r="C399" s="198"/>
      <c r="D399" s="202" t="s">
        <v>430</v>
      </c>
      <c r="E399" s="200">
        <v>5030</v>
      </c>
      <c r="F399" s="24" t="str">
        <f t="array" ref="F399">IFERROR(INDEX(COA!$C$5:$C$59,MATCH(JURNAL!E399,COA!$B$5:$B$59,0)),"")</f>
        <v>Hpp reguler</v>
      </c>
      <c r="G399" s="204"/>
      <c r="H399" s="204">
        <v>183000</v>
      </c>
    </row>
    <row r="400" spans="2:8" ht="15.75" customHeight="1" x14ac:dyDescent="0.2">
      <c r="B400" s="30" t="s">
        <v>600</v>
      </c>
      <c r="C400" s="198"/>
      <c r="D400" s="202" t="s">
        <v>363</v>
      </c>
      <c r="E400" s="200">
        <v>5030</v>
      </c>
      <c r="F400" s="24" t="str">
        <f t="array" ref="F400">IFERROR(INDEX(COA!$C$5:$C$59,MATCH(JURNAL!E400,COA!$B$5:$B$59,0)),"")</f>
        <v>Hpp reguler</v>
      </c>
      <c r="G400" s="204"/>
      <c r="H400" s="204">
        <v>469000</v>
      </c>
    </row>
    <row r="401" spans="2:8" ht="15.75" customHeight="1" x14ac:dyDescent="0.2">
      <c r="B401" s="30" t="s">
        <v>600</v>
      </c>
      <c r="C401" s="198"/>
      <c r="D401" s="202" t="s">
        <v>345</v>
      </c>
      <c r="E401" s="200">
        <v>6000</v>
      </c>
      <c r="F401" s="24" t="str">
        <f t="array" ref="F401">IFERROR(INDEX(COA!$C$5:$C$59,MATCH(JURNAL!E401,COA!$B$5:$B$59,0)),"")</f>
        <v/>
      </c>
      <c r="G401" s="204"/>
      <c r="H401" s="204">
        <v>20000</v>
      </c>
    </row>
    <row r="402" spans="2:8" ht="15.75" customHeight="1" x14ac:dyDescent="0.2">
      <c r="B402" s="30" t="s">
        <v>600</v>
      </c>
      <c r="C402" s="198"/>
      <c r="D402" s="202" t="s">
        <v>607</v>
      </c>
      <c r="E402" s="200">
        <v>6010</v>
      </c>
      <c r="F402" s="24" t="str">
        <f t="array" ref="F402">IFERROR(INDEX(COA!$C$5:$C$59,MATCH(JURNAL!E402,COA!$B$5:$B$59,0)),"")</f>
        <v/>
      </c>
      <c r="G402" s="204"/>
      <c r="H402" s="204">
        <v>10000</v>
      </c>
    </row>
    <row r="403" spans="2:8" ht="15.75" customHeight="1" x14ac:dyDescent="0.2">
      <c r="B403" s="30" t="s">
        <v>608</v>
      </c>
      <c r="C403" s="24"/>
      <c r="D403" s="201" t="s">
        <v>291</v>
      </c>
      <c r="E403" s="24">
        <v>4110</v>
      </c>
      <c r="F403" s="24" t="str">
        <f t="array" ref="F403">IFERROR(INDEX(COA!$C$5:$C$59,MATCH(JURNAL!E403,COA!$B$5:$B$59,0)),"")</f>
        <v>Pendapatan jasa</v>
      </c>
      <c r="G403" s="204">
        <v>9940672</v>
      </c>
      <c r="H403" s="204"/>
    </row>
    <row r="404" spans="2:8" ht="15.75" customHeight="1" x14ac:dyDescent="0.2">
      <c r="B404" s="30" t="s">
        <v>608</v>
      </c>
      <c r="C404" s="24"/>
      <c r="D404" s="205" t="s">
        <v>229</v>
      </c>
      <c r="E404" s="24">
        <v>4120</v>
      </c>
      <c r="F404" s="24" t="str">
        <f t="array" ref="F404">IFERROR(INDEX(COA!$C$5:$C$59,MATCH(JURNAL!E404,COA!$B$5:$B$59,0)),"")</f>
        <v>pendapatan shoepolice</v>
      </c>
      <c r="G404" s="204">
        <v>12250000</v>
      </c>
      <c r="H404" s="204"/>
    </row>
    <row r="405" spans="2:8" ht="15.75" customHeight="1" x14ac:dyDescent="0.2">
      <c r="B405" s="30" t="s">
        <v>608</v>
      </c>
      <c r="C405" s="198"/>
      <c r="D405" s="202" t="s">
        <v>335</v>
      </c>
      <c r="E405" s="200">
        <v>5010</v>
      </c>
      <c r="F405" s="24" t="str">
        <f t="array" ref="F405">IFERROR(INDEX(COA!$C$5:$C$59,MATCH(JURNAL!E405,COA!$B$5:$B$59,0)),"")</f>
        <v>Hpp sole</v>
      </c>
      <c r="G405" s="204"/>
      <c r="H405" s="204">
        <v>89000</v>
      </c>
    </row>
    <row r="406" spans="2:8" ht="15.75" customHeight="1" x14ac:dyDescent="0.2">
      <c r="B406" s="30" t="s">
        <v>608</v>
      </c>
      <c r="C406" s="198"/>
      <c r="D406" s="202" t="s">
        <v>336</v>
      </c>
      <c r="E406" s="200">
        <v>5030</v>
      </c>
      <c r="F406" s="24" t="str">
        <f t="array" ref="F406">IFERROR(INDEX(COA!$C$5:$C$59,MATCH(JURNAL!E406,COA!$B$5:$B$59,0)),"")</f>
        <v>Hpp reguler</v>
      </c>
      <c r="G406" s="204"/>
      <c r="H406" s="204">
        <v>37000</v>
      </c>
    </row>
    <row r="407" spans="2:8" ht="15.75" customHeight="1" x14ac:dyDescent="0.2">
      <c r="B407" s="30" t="s">
        <v>608</v>
      </c>
      <c r="C407" s="198"/>
      <c r="D407" s="202" t="s">
        <v>360</v>
      </c>
      <c r="E407" s="200">
        <v>5108</v>
      </c>
      <c r="F407" s="24" t="str">
        <f t="array" ref="F407">IFERROR(INDEX(COA!$C$5:$C$59,MATCH(JURNAL!E407,COA!$B$5:$B$59,0)),"")</f>
        <v>Beban gaji tukang</v>
      </c>
      <c r="G407" s="204"/>
      <c r="H407" s="204">
        <v>832000</v>
      </c>
    </row>
    <row r="408" spans="2:8" ht="15.75" customHeight="1" x14ac:dyDescent="0.2">
      <c r="B408" s="30" t="s">
        <v>608</v>
      </c>
      <c r="C408" s="198"/>
      <c r="D408" s="202" t="s">
        <v>609</v>
      </c>
      <c r="E408" s="200">
        <v>5108</v>
      </c>
      <c r="F408" s="24" t="str">
        <f t="array" ref="F408">IFERROR(INDEX(COA!$C$5:$C$59,MATCH(JURNAL!E408,COA!$B$5:$B$59,0)),"")</f>
        <v>Beban gaji tukang</v>
      </c>
      <c r="G408" s="204"/>
      <c r="H408" s="204">
        <v>100000</v>
      </c>
    </row>
    <row r="409" spans="2:8" ht="15.75" customHeight="1" x14ac:dyDescent="0.2">
      <c r="B409" s="30" t="s">
        <v>608</v>
      </c>
      <c r="C409" s="198"/>
      <c r="D409" s="202" t="s">
        <v>374</v>
      </c>
      <c r="E409" s="200">
        <v>5108</v>
      </c>
      <c r="F409" s="24" t="str">
        <f t="array" ref="F409">IFERROR(INDEX(COA!$C$5:$C$59,MATCH(JURNAL!E409,COA!$B$5:$B$59,0)),"")</f>
        <v>Beban gaji tukang</v>
      </c>
      <c r="G409" s="204"/>
      <c r="H409" s="204">
        <v>100000</v>
      </c>
    </row>
    <row r="410" spans="2:8" ht="15.75" customHeight="1" x14ac:dyDescent="0.2">
      <c r="B410" s="30" t="s">
        <v>608</v>
      </c>
      <c r="C410" s="198"/>
      <c r="D410" s="202" t="s">
        <v>375</v>
      </c>
      <c r="E410" s="200">
        <v>5108</v>
      </c>
      <c r="F410" s="24" t="str">
        <f t="array" ref="F410">IFERROR(INDEX(COA!$C$5:$C$59,MATCH(JURNAL!E410,COA!$B$5:$B$59,0)),"")</f>
        <v>Beban gaji tukang</v>
      </c>
      <c r="G410" s="204"/>
      <c r="H410" s="204">
        <v>100000</v>
      </c>
    </row>
    <row r="411" spans="2:8" ht="15.75" customHeight="1" x14ac:dyDescent="0.2">
      <c r="B411" s="30" t="s">
        <v>608</v>
      </c>
      <c r="C411" s="198"/>
      <c r="D411" s="202" t="s">
        <v>376</v>
      </c>
      <c r="E411" s="200">
        <v>5108</v>
      </c>
      <c r="F411" s="24" t="str">
        <f t="array" ref="F411">IFERROR(INDEX(COA!$C$5:$C$59,MATCH(JURNAL!E411,COA!$B$5:$B$59,0)),"")</f>
        <v>Beban gaji tukang</v>
      </c>
      <c r="G411" s="204"/>
      <c r="H411" s="204">
        <v>100000</v>
      </c>
    </row>
    <row r="412" spans="2:8" ht="15.75" customHeight="1" x14ac:dyDescent="0.2">
      <c r="B412" s="30" t="s">
        <v>608</v>
      </c>
      <c r="C412" s="198"/>
      <c r="D412" s="202" t="s">
        <v>377</v>
      </c>
      <c r="E412" s="200">
        <v>5108</v>
      </c>
      <c r="F412" s="24" t="str">
        <f t="array" ref="F412">IFERROR(INDEX(COA!$C$5:$C$59,MATCH(JURNAL!E412,COA!$B$5:$B$59,0)),"")</f>
        <v>Beban gaji tukang</v>
      </c>
      <c r="G412" s="204"/>
      <c r="H412" s="204">
        <v>100000</v>
      </c>
    </row>
    <row r="413" spans="2:8" ht="15.75" customHeight="1" x14ac:dyDescent="0.2">
      <c r="B413" s="30" t="s">
        <v>608</v>
      </c>
      <c r="C413" s="198"/>
      <c r="D413" s="202" t="s">
        <v>378</v>
      </c>
      <c r="E413" s="200">
        <v>5108</v>
      </c>
      <c r="F413" s="24" t="str">
        <f t="array" ref="F413">IFERROR(INDEX(COA!$C$5:$C$59,MATCH(JURNAL!E413,COA!$B$5:$B$59,0)),"")</f>
        <v>Beban gaji tukang</v>
      </c>
      <c r="G413" s="204"/>
      <c r="H413" s="204">
        <v>100000</v>
      </c>
    </row>
    <row r="414" spans="2:8" ht="15.75" customHeight="1" x14ac:dyDescent="0.2">
      <c r="B414" s="30" t="s">
        <v>608</v>
      </c>
      <c r="C414" s="198"/>
      <c r="D414" s="202" t="s">
        <v>610</v>
      </c>
      <c r="E414" s="200">
        <v>5020</v>
      </c>
      <c r="F414" s="24" t="str">
        <f t="array" ref="F414">IFERROR(INDEX(COA!$C$5:$C$59,MATCH(JURNAL!E414,COA!$B$5:$B$59,0)),"")</f>
        <v>Hpp upper</v>
      </c>
      <c r="G414" s="204"/>
      <c r="H414" s="204">
        <v>7000</v>
      </c>
    </row>
    <row r="415" spans="2:8" ht="15.75" customHeight="1" x14ac:dyDescent="0.2">
      <c r="B415" s="30" t="s">
        <v>608</v>
      </c>
      <c r="C415" s="198"/>
      <c r="D415" s="202" t="s">
        <v>611</v>
      </c>
      <c r="E415" s="200">
        <v>6100</v>
      </c>
      <c r="F415" s="24" t="str">
        <f t="array" ref="F415">IFERROR(INDEX(COA!$C$5:$C$59,MATCH(JURNAL!E415,COA!$B$5:$B$59,0)),"")</f>
        <v/>
      </c>
      <c r="G415" s="204"/>
      <c r="H415" s="204">
        <v>133760</v>
      </c>
    </row>
    <row r="416" spans="2:8" ht="15.75" customHeight="1" x14ac:dyDescent="0.2">
      <c r="B416" s="30" t="s">
        <v>608</v>
      </c>
      <c r="C416" s="198"/>
      <c r="D416" s="202" t="s">
        <v>612</v>
      </c>
      <c r="E416" s="200">
        <v>6120</v>
      </c>
      <c r="F416" s="24" t="str">
        <f t="array" ref="F416">IFERROR(INDEX(COA!$C$5:$C$59,MATCH(JURNAL!E416,COA!$B$5:$B$59,0)),"")</f>
        <v/>
      </c>
      <c r="G416" s="204"/>
      <c r="H416" s="204">
        <v>50000</v>
      </c>
    </row>
    <row r="417" spans="2:8" ht="15.75" customHeight="1" x14ac:dyDescent="0.2">
      <c r="B417" s="30" t="s">
        <v>608</v>
      </c>
      <c r="C417" s="198"/>
      <c r="D417" s="202" t="s">
        <v>613</v>
      </c>
      <c r="E417" s="200">
        <v>4170</v>
      </c>
      <c r="F417" s="24" t="str">
        <f t="array" ref="F417">IFERROR(INDEX(COA!$C$5:$C$59,MATCH(JURNAL!E417,COA!$B$5:$B$59,0)),"")</f>
        <v>Retur &amp; Refund</v>
      </c>
      <c r="G417" s="204"/>
      <c r="H417" s="204">
        <v>50000</v>
      </c>
    </row>
    <row r="418" spans="2:8" ht="15.75" customHeight="1" x14ac:dyDescent="0.2">
      <c r="B418" s="30" t="s">
        <v>608</v>
      </c>
      <c r="C418" s="198"/>
      <c r="D418" s="202" t="s">
        <v>614</v>
      </c>
      <c r="E418" s="200">
        <v>4170</v>
      </c>
      <c r="F418" s="24" t="str">
        <f t="array" ref="F418">IFERROR(INDEX(COA!$C$5:$C$59,MATCH(JURNAL!E418,COA!$B$5:$B$59,0)),"")</f>
        <v>Retur &amp; Refund</v>
      </c>
      <c r="G418" s="204"/>
      <c r="H418" s="204">
        <v>150000</v>
      </c>
    </row>
    <row r="419" spans="2:8" ht="15.75" customHeight="1" x14ac:dyDescent="0.2">
      <c r="B419" s="30" t="s">
        <v>608</v>
      </c>
      <c r="C419" s="198"/>
      <c r="D419" s="202" t="s">
        <v>349</v>
      </c>
      <c r="E419" s="200">
        <v>5440</v>
      </c>
      <c r="F419" s="24" t="str">
        <f t="array" ref="F419">IFERROR(INDEX(COA!$C$5:$C$59,MATCH(JURNAL!E419,COA!$B$5:$B$59,0)),"")</f>
        <v>ADS</v>
      </c>
      <c r="G419" s="204"/>
      <c r="H419" s="204">
        <v>2000000</v>
      </c>
    </row>
    <row r="420" spans="2:8" ht="15.75" customHeight="1" x14ac:dyDescent="0.2">
      <c r="B420" s="30" t="s">
        <v>608</v>
      </c>
      <c r="C420" s="198"/>
      <c r="D420" s="202" t="s">
        <v>615</v>
      </c>
      <c r="E420" s="200">
        <v>6100</v>
      </c>
      <c r="F420" s="24" t="str">
        <f t="array" ref="F420">IFERROR(INDEX(COA!$C$5:$C$59,MATCH(JURNAL!E420,COA!$B$5:$B$59,0)),"")</f>
        <v/>
      </c>
      <c r="G420" s="204"/>
      <c r="H420" s="204">
        <v>700000</v>
      </c>
    </row>
    <row r="421" spans="2:8" ht="15.75" customHeight="1" x14ac:dyDescent="0.2">
      <c r="B421" s="30" t="s">
        <v>608</v>
      </c>
      <c r="C421" s="198"/>
      <c r="D421" s="202" t="s">
        <v>351</v>
      </c>
      <c r="E421" s="200"/>
      <c r="F421" s="24" t="str">
        <f t="array" ref="F421">IFERROR(INDEX(COA!$C$5:$C$59,MATCH(JURNAL!E421,COA!$B$5:$B$59,0)),"")</f>
        <v/>
      </c>
      <c r="G421" s="204"/>
      <c r="H421" s="204">
        <v>201000</v>
      </c>
    </row>
    <row r="422" spans="2:8" ht="15.75" customHeight="1" x14ac:dyDescent="0.2">
      <c r="B422" s="30" t="s">
        <v>608</v>
      </c>
      <c r="C422" s="198"/>
      <c r="D422" s="202" t="s">
        <v>351</v>
      </c>
      <c r="E422" s="200"/>
      <c r="F422" s="24" t="str">
        <f t="array" ref="F422">IFERROR(INDEX(COA!$C$5:$C$59,MATCH(JURNAL!E422,COA!$B$5:$B$59,0)),"")</f>
        <v/>
      </c>
      <c r="G422" s="204"/>
      <c r="H422" s="204">
        <v>139000</v>
      </c>
    </row>
    <row r="423" spans="2:8" ht="15.75" customHeight="1" x14ac:dyDescent="0.2">
      <c r="B423" s="30" t="s">
        <v>608</v>
      </c>
      <c r="C423" s="198"/>
      <c r="D423" s="202" t="s">
        <v>351</v>
      </c>
      <c r="E423" s="200"/>
      <c r="F423" s="24" t="str">
        <f t="array" ref="F423">IFERROR(INDEX(COA!$C$5:$C$59,MATCH(JURNAL!E423,COA!$B$5:$B$59,0)),"")</f>
        <v/>
      </c>
      <c r="G423" s="204"/>
      <c r="H423" s="204">
        <v>179500</v>
      </c>
    </row>
    <row r="424" spans="2:8" ht="15.75" customHeight="1" x14ac:dyDescent="0.2">
      <c r="B424" s="30" t="s">
        <v>616</v>
      </c>
      <c r="C424" s="24"/>
      <c r="D424" s="61" t="s">
        <v>291</v>
      </c>
      <c r="E424" s="24">
        <v>4110</v>
      </c>
      <c r="F424" s="24" t="str">
        <f t="array" ref="F424">IFERROR(INDEX(COA!$C$5:$C$59,MATCH(JURNAL!E424,COA!$B$5:$B$59,0)),"")</f>
        <v>Pendapatan jasa</v>
      </c>
      <c r="G424" s="204">
        <v>9652942</v>
      </c>
      <c r="H424" s="204"/>
    </row>
    <row r="425" spans="2:8" ht="15.75" customHeight="1" x14ac:dyDescent="0.2">
      <c r="B425" s="30" t="s">
        <v>616</v>
      </c>
      <c r="C425" s="198"/>
      <c r="D425" s="202" t="s">
        <v>379</v>
      </c>
      <c r="E425" s="200">
        <v>5450</v>
      </c>
      <c r="F425" s="24" t="str">
        <f t="array" ref="F425">IFERROR(INDEX(COA!$C$5:$C$59,MATCH(JURNAL!E425,COA!$B$5:$B$59,0)),"")</f>
        <v>WA API</v>
      </c>
      <c r="G425" s="204"/>
      <c r="H425" s="204">
        <v>907600</v>
      </c>
    </row>
    <row r="426" spans="2:8" ht="15.75" customHeight="1" x14ac:dyDescent="0.2">
      <c r="B426" s="30" t="s">
        <v>616</v>
      </c>
      <c r="C426" s="198"/>
      <c r="D426" s="202" t="s">
        <v>404</v>
      </c>
      <c r="E426" s="200">
        <v>5500</v>
      </c>
      <c r="F426" s="24" t="str">
        <f t="array" ref="F426">IFERROR(INDEX(COA!$C$5:$C$59,MATCH(JURNAL!E426,COA!$B$5:$B$59,0)),"")</f>
        <v>Beban Listrik Office</v>
      </c>
      <c r="G426" s="204"/>
      <c r="H426" s="204">
        <v>203500</v>
      </c>
    </row>
    <row r="427" spans="2:8" ht="15.75" customHeight="1" x14ac:dyDescent="0.2">
      <c r="B427" s="30" t="s">
        <v>616</v>
      </c>
      <c r="C427" s="198"/>
      <c r="D427" s="202" t="s">
        <v>617</v>
      </c>
      <c r="E427" s="200">
        <v>5200</v>
      </c>
      <c r="F427" s="24" t="str">
        <f t="array" ref="F427">IFERROR(INDEX(COA!$C$5:$C$59,MATCH(JURNAL!E427,COA!$B$5:$B$59,0)),"")</f>
        <v xml:space="preserve">Konsumsi lembur &amp; Meeting </v>
      </c>
      <c r="G427" s="204"/>
      <c r="H427" s="204">
        <v>97000</v>
      </c>
    </row>
    <row r="428" spans="2:8" ht="15.75" customHeight="1" x14ac:dyDescent="0.2">
      <c r="B428" s="30" t="s">
        <v>616</v>
      </c>
      <c r="C428" s="198"/>
      <c r="D428" s="202" t="s">
        <v>618</v>
      </c>
      <c r="E428" s="200">
        <v>5200</v>
      </c>
      <c r="F428" s="24" t="str">
        <f t="array" ref="F428">IFERROR(INDEX(COA!$C$5:$C$59,MATCH(JURNAL!E428,COA!$B$5:$B$59,0)),"")</f>
        <v xml:space="preserve">Konsumsi lembur &amp; Meeting </v>
      </c>
      <c r="G428" s="204"/>
      <c r="H428" s="204">
        <v>48000</v>
      </c>
    </row>
    <row r="429" spans="2:8" ht="15.75" customHeight="1" x14ac:dyDescent="0.2">
      <c r="B429" s="30" t="s">
        <v>616</v>
      </c>
      <c r="C429" s="198"/>
      <c r="D429" s="202" t="s">
        <v>619</v>
      </c>
      <c r="E429" s="200">
        <v>4170</v>
      </c>
      <c r="F429" s="24" t="str">
        <f t="array" ref="F429">IFERROR(INDEX(COA!$C$5:$C$59,MATCH(JURNAL!E429,COA!$B$5:$B$59,0)),"")</f>
        <v>Retur &amp; Refund</v>
      </c>
      <c r="G429" s="204"/>
      <c r="H429" s="204">
        <v>10000</v>
      </c>
    </row>
    <row r="430" spans="2:8" ht="15.75" customHeight="1" x14ac:dyDescent="0.2">
      <c r="B430" s="30" t="s">
        <v>616</v>
      </c>
      <c r="C430" s="198"/>
      <c r="D430" s="202" t="s">
        <v>620</v>
      </c>
      <c r="E430" s="200">
        <v>5010</v>
      </c>
      <c r="F430" s="24" t="str">
        <f t="array" ref="F430">IFERROR(INDEX(COA!$C$5:$C$59,MATCH(JURNAL!E430,COA!$B$5:$B$59,0)),"")</f>
        <v>Hpp sole</v>
      </c>
      <c r="G430" s="204"/>
      <c r="H430" s="204">
        <v>27153</v>
      </c>
    </row>
    <row r="431" spans="2:8" ht="15.75" customHeight="1" x14ac:dyDescent="0.2">
      <c r="B431" s="30" t="s">
        <v>616</v>
      </c>
      <c r="C431" s="198"/>
      <c r="D431" s="202" t="s">
        <v>621</v>
      </c>
      <c r="E431" s="200">
        <v>5010</v>
      </c>
      <c r="F431" s="24" t="str">
        <f t="array" ref="F431">IFERROR(INDEX(COA!$C$5:$C$59,MATCH(JURNAL!E431,COA!$B$5:$B$59,0)),"")</f>
        <v>Hpp sole</v>
      </c>
      <c r="G431" s="204"/>
      <c r="H431" s="204">
        <v>80279</v>
      </c>
    </row>
    <row r="432" spans="2:8" ht="15.75" customHeight="1" x14ac:dyDescent="0.2">
      <c r="B432" s="30" t="s">
        <v>616</v>
      </c>
      <c r="C432" s="198"/>
      <c r="D432" s="202" t="s">
        <v>622</v>
      </c>
      <c r="E432" s="200">
        <v>5010</v>
      </c>
      <c r="F432" s="24" t="str">
        <f t="array" ref="F432">IFERROR(INDEX(COA!$C$5:$C$59,MATCH(JURNAL!E432,COA!$B$5:$B$59,0)),"")</f>
        <v>Hpp sole</v>
      </c>
      <c r="G432" s="204"/>
      <c r="H432" s="204">
        <v>26453</v>
      </c>
    </row>
    <row r="433" spans="2:8" ht="15.75" customHeight="1" x14ac:dyDescent="0.2">
      <c r="B433" s="30" t="s">
        <v>616</v>
      </c>
      <c r="C433" s="198"/>
      <c r="D433" s="202" t="s">
        <v>623</v>
      </c>
      <c r="E433" s="200">
        <v>5010</v>
      </c>
      <c r="F433" s="24" t="str">
        <f t="array" ref="F433">IFERROR(INDEX(COA!$C$5:$C$59,MATCH(JURNAL!E433,COA!$B$5:$B$59,0)),"")</f>
        <v>Hpp sole</v>
      </c>
      <c r="G433" s="204"/>
      <c r="H433" s="204">
        <v>84478</v>
      </c>
    </row>
    <row r="434" spans="2:8" ht="15.75" customHeight="1" x14ac:dyDescent="0.2">
      <c r="B434" s="30" t="s">
        <v>616</v>
      </c>
      <c r="C434" s="198"/>
      <c r="D434" s="202" t="s">
        <v>338</v>
      </c>
      <c r="E434" s="200">
        <v>5010</v>
      </c>
      <c r="F434" s="24" t="str">
        <f t="array" ref="F434">IFERROR(INDEX(COA!$C$5:$C$59,MATCH(JURNAL!E434,COA!$B$5:$B$59,0)),"")</f>
        <v>Hpp sole</v>
      </c>
      <c r="G434" s="204"/>
      <c r="H434" s="204">
        <v>321455</v>
      </c>
    </row>
    <row r="435" spans="2:8" ht="15.75" customHeight="1" x14ac:dyDescent="0.2">
      <c r="B435" s="30" t="s">
        <v>616</v>
      </c>
      <c r="C435" s="198"/>
      <c r="D435" s="202" t="s">
        <v>624</v>
      </c>
      <c r="E435" s="200">
        <v>5010</v>
      </c>
      <c r="F435" s="24" t="str">
        <f t="array" ref="F435">IFERROR(INDEX(COA!$C$5:$C$59,MATCH(JURNAL!E435,COA!$B$5:$B$59,0)),"")</f>
        <v>Hpp sole</v>
      </c>
      <c r="G435" s="204"/>
      <c r="H435" s="204">
        <v>38047</v>
      </c>
    </row>
    <row r="436" spans="2:8" ht="15.75" customHeight="1" x14ac:dyDescent="0.2">
      <c r="B436" s="30" t="s">
        <v>616</v>
      </c>
      <c r="C436" s="198"/>
      <c r="D436" s="202" t="s">
        <v>361</v>
      </c>
      <c r="E436" s="200">
        <v>5030</v>
      </c>
      <c r="F436" s="24" t="str">
        <f t="array" ref="F436">IFERROR(INDEX(COA!$C$5:$C$59,MATCH(JURNAL!E436,COA!$B$5:$B$59,0)),"")</f>
        <v>Hpp reguler</v>
      </c>
      <c r="G436" s="204"/>
      <c r="H436" s="204">
        <v>61000</v>
      </c>
    </row>
    <row r="437" spans="2:8" ht="15.75" customHeight="1" x14ac:dyDescent="0.2">
      <c r="B437" s="30" t="s">
        <v>616</v>
      </c>
      <c r="C437" s="198"/>
      <c r="D437" s="202" t="s">
        <v>336</v>
      </c>
      <c r="E437" s="200">
        <v>5010</v>
      </c>
      <c r="F437" s="24" t="str">
        <f t="array" ref="F437">IFERROR(INDEX(COA!$C$5:$C$59,MATCH(JURNAL!E437,COA!$B$5:$B$59,0)),"")</f>
        <v>Hpp sole</v>
      </c>
      <c r="G437" s="204"/>
      <c r="H437" s="204">
        <v>96000</v>
      </c>
    </row>
    <row r="438" spans="2:8" ht="15.75" customHeight="1" x14ac:dyDescent="0.2">
      <c r="B438" s="30" t="s">
        <v>616</v>
      </c>
      <c r="C438" s="198"/>
      <c r="D438" s="202" t="s">
        <v>335</v>
      </c>
      <c r="E438" s="200">
        <v>5010</v>
      </c>
      <c r="F438" s="24" t="str">
        <f t="array" ref="F438">IFERROR(INDEX(COA!$C$5:$C$59,MATCH(JURNAL!E438,COA!$B$5:$B$59,0)),"")</f>
        <v>Hpp sole</v>
      </c>
      <c r="G438" s="204"/>
      <c r="H438" s="204">
        <v>66000</v>
      </c>
    </row>
    <row r="439" spans="2:8" ht="15.75" customHeight="1" x14ac:dyDescent="0.2">
      <c r="B439" s="30" t="s">
        <v>616</v>
      </c>
      <c r="C439" s="198"/>
      <c r="D439" s="202" t="s">
        <v>337</v>
      </c>
      <c r="E439" s="200">
        <v>5010</v>
      </c>
      <c r="F439" s="24" t="str">
        <f t="array" ref="F439">IFERROR(INDEX(COA!$C$5:$C$59,MATCH(JURNAL!E439,COA!$B$5:$B$59,0)),"")</f>
        <v>Hpp sole</v>
      </c>
      <c r="G439" s="204"/>
      <c r="H439" s="204">
        <v>215000</v>
      </c>
    </row>
    <row r="440" spans="2:8" ht="15.75" customHeight="1" x14ac:dyDescent="0.2">
      <c r="B440" s="30" t="s">
        <v>616</v>
      </c>
      <c r="C440" s="198"/>
      <c r="D440" s="202" t="s">
        <v>625</v>
      </c>
      <c r="E440" s="200">
        <v>5010</v>
      </c>
      <c r="F440" s="24" t="str">
        <f t="array" ref="F440">IFERROR(INDEX(COA!$C$5:$C$59,MATCH(JURNAL!E440,COA!$B$5:$B$59,0)),"")</f>
        <v>Hpp sole</v>
      </c>
      <c r="G440" s="204"/>
      <c r="H440" s="204">
        <v>1081000</v>
      </c>
    </row>
    <row r="441" spans="2:8" ht="15.75" customHeight="1" x14ac:dyDescent="0.2">
      <c r="B441" s="30" t="s">
        <v>616</v>
      </c>
      <c r="C441" s="198"/>
      <c r="D441" s="202" t="s">
        <v>626</v>
      </c>
      <c r="E441" s="200">
        <v>5010</v>
      </c>
      <c r="F441" s="24" t="str">
        <f t="array" ref="F441">IFERROR(INDEX(COA!$C$5:$C$59,MATCH(JURNAL!E441,COA!$B$5:$B$59,0)),"")</f>
        <v>Hpp sole</v>
      </c>
      <c r="G441" s="204"/>
      <c r="H441" s="204">
        <v>57500</v>
      </c>
    </row>
    <row r="442" spans="2:8" ht="15.75" customHeight="1" x14ac:dyDescent="0.2">
      <c r="B442" s="30" t="s">
        <v>616</v>
      </c>
      <c r="C442" s="198"/>
      <c r="D442" s="202" t="s">
        <v>432</v>
      </c>
      <c r="E442" s="200">
        <v>6000</v>
      </c>
      <c r="F442" s="24" t="str">
        <f t="array" ref="F442">IFERROR(INDEX(COA!$C$5:$C$59,MATCH(JURNAL!E442,COA!$B$5:$B$59,0)),"")</f>
        <v/>
      </c>
      <c r="G442" s="204"/>
      <c r="H442" s="204">
        <v>19200</v>
      </c>
    </row>
    <row r="443" spans="2:8" ht="15.75" customHeight="1" x14ac:dyDescent="0.2">
      <c r="B443" s="30" t="s">
        <v>616</v>
      </c>
      <c r="C443" s="198"/>
      <c r="D443" s="202" t="s">
        <v>335</v>
      </c>
      <c r="E443" s="200">
        <v>5010</v>
      </c>
      <c r="F443" s="24" t="str">
        <f t="array" ref="F443">IFERROR(INDEX(COA!$C$5:$C$59,MATCH(JURNAL!E443,COA!$B$5:$B$59,0)),"")</f>
        <v>Hpp sole</v>
      </c>
      <c r="G443" s="204"/>
      <c r="H443" s="204">
        <v>67500</v>
      </c>
    </row>
    <row r="444" spans="2:8" ht="15.75" customHeight="1" x14ac:dyDescent="0.2">
      <c r="B444" s="30" t="s">
        <v>616</v>
      </c>
      <c r="C444" s="198"/>
      <c r="D444" s="202" t="s">
        <v>336</v>
      </c>
      <c r="E444" s="200">
        <v>5010</v>
      </c>
      <c r="F444" s="24" t="str">
        <f t="array" ref="F444">IFERROR(INDEX(COA!$C$5:$C$59,MATCH(JURNAL!E444,COA!$B$5:$B$59,0)),"")</f>
        <v>Hpp sole</v>
      </c>
      <c r="G444" s="204"/>
      <c r="H444" s="204">
        <v>77500</v>
      </c>
    </row>
    <row r="445" spans="2:8" ht="15.75" customHeight="1" x14ac:dyDescent="0.2">
      <c r="B445" s="30" t="s">
        <v>616</v>
      </c>
      <c r="C445" s="198"/>
      <c r="D445" s="202" t="s">
        <v>627</v>
      </c>
      <c r="E445" s="200">
        <v>5010</v>
      </c>
      <c r="F445" s="24" t="str">
        <f t="array" ref="F445">IFERROR(INDEX(COA!$C$5:$C$59,MATCH(JURNAL!E445,COA!$B$5:$B$59,0)),"")</f>
        <v>Hpp sole</v>
      </c>
      <c r="G445" s="204"/>
      <c r="H445" s="204">
        <v>73339</v>
      </c>
    </row>
    <row r="446" spans="2:8" ht="15.75" customHeight="1" x14ac:dyDescent="0.2">
      <c r="B446" s="30" t="s">
        <v>616</v>
      </c>
      <c r="C446" s="198"/>
      <c r="D446" s="202" t="s">
        <v>338</v>
      </c>
      <c r="E446" s="200">
        <v>5010</v>
      </c>
      <c r="F446" s="24" t="str">
        <f t="array" ref="F446">IFERROR(INDEX(COA!$C$5:$C$59,MATCH(JURNAL!E446,COA!$B$5:$B$59,0)),"")</f>
        <v>Hpp sole</v>
      </c>
      <c r="G446" s="204"/>
      <c r="H446" s="204">
        <v>198213</v>
      </c>
    </row>
    <row r="447" spans="2:8" ht="15.75" customHeight="1" x14ac:dyDescent="0.2">
      <c r="B447" s="30" t="s">
        <v>616</v>
      </c>
      <c r="C447" s="198"/>
      <c r="D447" s="202" t="s">
        <v>628</v>
      </c>
      <c r="E447" s="200">
        <v>5010</v>
      </c>
      <c r="F447" s="24" t="str">
        <f t="array" ref="F447">IFERROR(INDEX(COA!$C$5:$C$59,MATCH(JURNAL!E447,COA!$B$5:$B$59,0)),"")</f>
        <v>Hpp sole</v>
      </c>
      <c r="G447" s="204"/>
      <c r="H447" s="204">
        <v>89924</v>
      </c>
    </row>
    <row r="448" spans="2:8" ht="15.75" customHeight="1" x14ac:dyDescent="0.2">
      <c r="B448" s="30" t="s">
        <v>629</v>
      </c>
      <c r="C448" s="24"/>
      <c r="D448" s="61" t="s">
        <v>291</v>
      </c>
      <c r="E448" s="24">
        <v>4110</v>
      </c>
      <c r="F448" s="24" t="str">
        <f t="array" ref="F448">IFERROR(INDEX(COA!$C$5:$C$59,MATCH(JURNAL!E448,COA!$B$5:$B$59,0)),"")</f>
        <v>Pendapatan jasa</v>
      </c>
      <c r="G448" s="204">
        <v>9950271</v>
      </c>
      <c r="H448" s="204"/>
    </row>
    <row r="449" spans="2:8" ht="15.75" customHeight="1" x14ac:dyDescent="0.2">
      <c r="B449" s="30" t="s">
        <v>629</v>
      </c>
      <c r="C449" s="198"/>
      <c r="D449" s="202" t="s">
        <v>630</v>
      </c>
      <c r="E449" s="200">
        <v>6080</v>
      </c>
      <c r="F449" s="24" t="str">
        <f t="array" ref="F449">IFERROR(INDEX(COA!$C$5:$C$59,MATCH(JURNAL!E449,COA!$B$5:$B$59,0)),"")</f>
        <v/>
      </c>
      <c r="G449" s="204"/>
      <c r="H449" s="204">
        <v>99000</v>
      </c>
    </row>
    <row r="450" spans="2:8" ht="15.75" customHeight="1" x14ac:dyDescent="0.2">
      <c r="B450" s="30" t="s">
        <v>629</v>
      </c>
      <c r="C450" s="198"/>
      <c r="D450" s="202" t="s">
        <v>631</v>
      </c>
      <c r="E450" s="200">
        <v>5020</v>
      </c>
      <c r="F450" s="24" t="str">
        <f t="array" ref="F450">IFERROR(INDEX(COA!$C$5:$C$59,MATCH(JURNAL!E450,COA!$B$5:$B$59,0)),"")</f>
        <v>Hpp upper</v>
      </c>
      <c r="G450" s="204"/>
      <c r="H450" s="204">
        <v>1019000</v>
      </c>
    </row>
    <row r="451" spans="2:8" ht="15.75" customHeight="1" x14ac:dyDescent="0.2">
      <c r="B451" s="30" t="s">
        <v>629</v>
      </c>
      <c r="C451" s="198"/>
      <c r="D451" s="202" t="s">
        <v>632</v>
      </c>
      <c r="E451" s="200">
        <v>6000</v>
      </c>
      <c r="F451" s="24" t="str">
        <f t="array" ref="F451">IFERROR(INDEX(COA!$C$5:$C$59,MATCH(JURNAL!E451,COA!$B$5:$B$59,0)),"")</f>
        <v/>
      </c>
      <c r="G451" s="204"/>
      <c r="H451" s="204">
        <v>2000</v>
      </c>
    </row>
    <row r="452" spans="2:8" ht="15.75" customHeight="1" x14ac:dyDescent="0.2">
      <c r="B452" s="30" t="s">
        <v>629</v>
      </c>
      <c r="C452" s="198"/>
      <c r="D452" s="202" t="s">
        <v>633</v>
      </c>
      <c r="E452" s="200">
        <v>6100</v>
      </c>
      <c r="F452" s="24" t="str">
        <f t="array" ref="F452">IFERROR(INDEX(COA!$C$5:$C$59,MATCH(JURNAL!E452,COA!$B$5:$B$59,0)),"")</f>
        <v/>
      </c>
      <c r="G452" s="204"/>
      <c r="H452" s="204">
        <v>14500</v>
      </c>
    </row>
    <row r="453" spans="2:8" ht="15.75" customHeight="1" x14ac:dyDescent="0.2">
      <c r="B453" s="30" t="s">
        <v>629</v>
      </c>
      <c r="C453" s="198"/>
      <c r="D453" s="202" t="s">
        <v>335</v>
      </c>
      <c r="E453" s="200">
        <v>5010</v>
      </c>
      <c r="F453" s="24" t="str">
        <f t="array" ref="F453">IFERROR(INDEX(COA!$C$5:$C$59,MATCH(JURNAL!E453,COA!$B$5:$B$59,0)),"")</f>
        <v>Hpp sole</v>
      </c>
      <c r="G453" s="204"/>
      <c r="H453" s="204">
        <v>15000</v>
      </c>
    </row>
    <row r="454" spans="2:8" ht="15.75" customHeight="1" x14ac:dyDescent="0.2">
      <c r="B454" s="30" t="s">
        <v>629</v>
      </c>
      <c r="C454" s="198"/>
      <c r="D454" s="202" t="s">
        <v>337</v>
      </c>
      <c r="E454" s="200">
        <v>5010</v>
      </c>
      <c r="F454" s="24" t="str">
        <f t="array" ref="F454">IFERROR(INDEX(COA!$C$5:$C$59,MATCH(JURNAL!E454,COA!$B$5:$B$59,0)),"")</f>
        <v>Hpp sole</v>
      </c>
      <c r="G454" s="204"/>
      <c r="H454" s="204">
        <v>112000</v>
      </c>
    </row>
    <row r="455" spans="2:8" ht="15.75" customHeight="1" x14ac:dyDescent="0.2">
      <c r="B455" s="30" t="s">
        <v>629</v>
      </c>
      <c r="C455" s="198"/>
      <c r="D455" s="202" t="s">
        <v>634</v>
      </c>
      <c r="E455" s="200">
        <v>5010</v>
      </c>
      <c r="F455" s="24" t="str">
        <f t="array" ref="F455">IFERROR(INDEX(COA!$C$5:$C$59,MATCH(JURNAL!E455,COA!$B$5:$B$59,0)),"")</f>
        <v>Hpp sole</v>
      </c>
      <c r="G455" s="204"/>
      <c r="H455" s="204">
        <v>20000</v>
      </c>
    </row>
    <row r="456" spans="2:8" ht="15.75" customHeight="1" x14ac:dyDescent="0.2">
      <c r="B456" s="30" t="s">
        <v>629</v>
      </c>
      <c r="C456" s="198"/>
      <c r="D456" s="202" t="s">
        <v>346</v>
      </c>
      <c r="E456" s="200">
        <v>5010</v>
      </c>
      <c r="F456" s="24" t="str">
        <f t="array" ref="F456">IFERROR(INDEX(COA!$C$5:$C$59,MATCH(JURNAL!E456,COA!$B$5:$B$59,0)),"")</f>
        <v>Hpp sole</v>
      </c>
      <c r="G456" s="204"/>
      <c r="H456" s="204">
        <v>12000</v>
      </c>
    </row>
    <row r="457" spans="2:8" ht="15.75" customHeight="1" x14ac:dyDescent="0.2">
      <c r="B457" s="30" t="s">
        <v>629</v>
      </c>
      <c r="C457" s="198"/>
      <c r="D457" s="202" t="s">
        <v>571</v>
      </c>
      <c r="E457" s="200">
        <v>6090</v>
      </c>
      <c r="F457" s="24" t="str">
        <f t="array" ref="F457">IFERROR(INDEX(COA!$C$5:$C$59,MATCH(JURNAL!E457,COA!$B$5:$B$59,0)),"")</f>
        <v/>
      </c>
      <c r="G457" s="204"/>
      <c r="H457" s="204">
        <v>10000</v>
      </c>
    </row>
    <row r="458" spans="2:8" ht="15.75" customHeight="1" x14ac:dyDescent="0.2">
      <c r="B458" s="30" t="s">
        <v>629</v>
      </c>
      <c r="C458" s="198"/>
      <c r="D458" s="202" t="s">
        <v>465</v>
      </c>
      <c r="E458" s="200">
        <v>5010</v>
      </c>
      <c r="F458" s="24" t="str">
        <f t="array" ref="F458">IFERROR(INDEX(COA!$C$5:$C$59,MATCH(JURNAL!E458,COA!$B$5:$B$59,0)),"")</f>
        <v>Hpp sole</v>
      </c>
      <c r="G458" s="204"/>
      <c r="H458" s="204">
        <v>860000</v>
      </c>
    </row>
    <row r="459" spans="2:8" ht="15.75" customHeight="1" x14ac:dyDescent="0.2">
      <c r="B459" s="30" t="s">
        <v>629</v>
      </c>
      <c r="C459" s="198"/>
      <c r="D459" s="202" t="s">
        <v>635</v>
      </c>
      <c r="E459" s="200">
        <v>5010</v>
      </c>
      <c r="F459" s="24" t="str">
        <f t="array" ref="F459">IFERROR(INDEX(COA!$C$5:$C$59,MATCH(JURNAL!E459,COA!$B$5:$B$59,0)),"")</f>
        <v>Hpp sole</v>
      </c>
      <c r="G459" s="204"/>
      <c r="H459" s="204">
        <v>44799</v>
      </c>
    </row>
    <row r="460" spans="2:8" ht="15.75" customHeight="1" x14ac:dyDescent="0.2">
      <c r="B460" s="30" t="s">
        <v>629</v>
      </c>
      <c r="C460" s="198"/>
      <c r="D460" s="202" t="s">
        <v>636</v>
      </c>
      <c r="E460" s="200">
        <v>5010</v>
      </c>
      <c r="F460" s="24" t="str">
        <f t="array" ref="F460">IFERROR(INDEX(COA!$C$5:$C$59,MATCH(JURNAL!E460,COA!$B$5:$B$59,0)),"")</f>
        <v>Hpp sole</v>
      </c>
      <c r="G460" s="204"/>
      <c r="H460" s="204">
        <v>48778</v>
      </c>
    </row>
    <row r="461" spans="2:8" ht="15.75" customHeight="1" x14ac:dyDescent="0.2">
      <c r="B461" s="30" t="s">
        <v>629</v>
      </c>
      <c r="C461" s="198"/>
      <c r="D461" s="202" t="s">
        <v>470</v>
      </c>
      <c r="E461" s="200">
        <v>5010</v>
      </c>
      <c r="F461" s="24" t="str">
        <f t="array" ref="F461">IFERROR(INDEX(COA!$C$5:$C$59,MATCH(JURNAL!E461,COA!$B$5:$B$59,0)),"")</f>
        <v>Hpp sole</v>
      </c>
      <c r="G461" s="204"/>
      <c r="H461" s="204">
        <v>235323</v>
      </c>
    </row>
    <row r="462" spans="2:8" ht="15.75" customHeight="1" x14ac:dyDescent="0.2">
      <c r="B462" s="30" t="s">
        <v>629</v>
      </c>
      <c r="C462" s="198"/>
      <c r="D462" s="202" t="s">
        <v>349</v>
      </c>
      <c r="E462" s="200">
        <v>5440</v>
      </c>
      <c r="F462" s="24" t="str">
        <f t="array" ref="F462">IFERROR(INDEX(COA!$C$5:$C$59,MATCH(JURNAL!E462,COA!$B$5:$B$59,0)),"")</f>
        <v>ADS</v>
      </c>
      <c r="G462" s="204"/>
      <c r="H462" s="204">
        <v>5000405</v>
      </c>
    </row>
    <row r="463" spans="2:8" ht="15.75" customHeight="1" x14ac:dyDescent="0.2">
      <c r="B463" s="30" t="s">
        <v>629</v>
      </c>
      <c r="C463" s="198"/>
      <c r="D463" s="202" t="s">
        <v>637</v>
      </c>
      <c r="E463" s="200">
        <v>5310</v>
      </c>
      <c r="F463" s="24" t="str">
        <f t="array" ref="F463">IFERROR(INDEX(COA!$C$5:$C$59,MATCH(JURNAL!E463,COA!$B$5:$B$59,0)),"")</f>
        <v>Biaya ekspedisi &amp; ongkir</v>
      </c>
      <c r="G463" s="204"/>
      <c r="H463" s="204">
        <v>18000</v>
      </c>
    </row>
    <row r="464" spans="2:8" ht="15.75" customHeight="1" x14ac:dyDescent="0.2">
      <c r="B464" s="30" t="s">
        <v>629</v>
      </c>
      <c r="C464" s="198"/>
      <c r="D464" s="202" t="s">
        <v>638</v>
      </c>
      <c r="E464" s="200">
        <v>5310</v>
      </c>
      <c r="F464" s="24" t="str">
        <f t="array" ref="F464">IFERROR(INDEX(COA!$C$5:$C$59,MATCH(JURNAL!E464,COA!$B$5:$B$59,0)),"")</f>
        <v>Biaya ekspedisi &amp; ongkir</v>
      </c>
      <c r="G464" s="204"/>
      <c r="H464" s="204">
        <v>15500</v>
      </c>
    </row>
    <row r="465" spans="2:8" ht="15.75" customHeight="1" x14ac:dyDescent="0.2">
      <c r="B465" s="30" t="s">
        <v>629</v>
      </c>
      <c r="C465" s="198"/>
      <c r="D465" s="202" t="s">
        <v>639</v>
      </c>
      <c r="E465" s="200">
        <v>5310</v>
      </c>
      <c r="F465" s="24" t="str">
        <f t="array" ref="F465">IFERROR(INDEX(COA!$C$5:$C$59,MATCH(JURNAL!E465,COA!$B$5:$B$59,0)),"")</f>
        <v>Biaya ekspedisi &amp; ongkir</v>
      </c>
      <c r="G465" s="204"/>
      <c r="H465" s="204">
        <v>13250</v>
      </c>
    </row>
    <row r="466" spans="2:8" ht="15.75" customHeight="1" x14ac:dyDescent="0.2">
      <c r="B466" s="30" t="s">
        <v>629</v>
      </c>
      <c r="C466" s="198"/>
      <c r="D466" s="202" t="s">
        <v>640</v>
      </c>
      <c r="E466" s="200">
        <v>5310</v>
      </c>
      <c r="F466" s="24" t="str">
        <f t="array" ref="F466">IFERROR(INDEX(COA!$C$5:$C$59,MATCH(JURNAL!E466,COA!$B$5:$B$59,0)),"")</f>
        <v>Biaya ekspedisi &amp; ongkir</v>
      </c>
      <c r="G466" s="204"/>
      <c r="H466" s="204">
        <v>19500</v>
      </c>
    </row>
    <row r="467" spans="2:8" ht="15.75" customHeight="1" x14ac:dyDescent="0.2">
      <c r="B467" s="30" t="s">
        <v>629</v>
      </c>
      <c r="C467" s="198"/>
      <c r="D467" s="202" t="s">
        <v>641</v>
      </c>
      <c r="E467" s="200">
        <v>5310</v>
      </c>
      <c r="F467" s="24" t="str">
        <f t="array" ref="F467">IFERROR(INDEX(COA!$C$5:$C$59,MATCH(JURNAL!E467,COA!$B$5:$B$59,0)),"")</f>
        <v>Biaya ekspedisi &amp; ongkir</v>
      </c>
      <c r="G467" s="204"/>
      <c r="H467" s="204">
        <v>20900</v>
      </c>
    </row>
    <row r="468" spans="2:8" ht="15.75" customHeight="1" x14ac:dyDescent="0.2">
      <c r="B468" s="30" t="s">
        <v>629</v>
      </c>
      <c r="C468" s="198"/>
      <c r="D468" s="202" t="s">
        <v>642</v>
      </c>
      <c r="E468" s="200">
        <v>5310</v>
      </c>
      <c r="F468" s="24" t="str">
        <f t="array" ref="F468">IFERROR(INDEX(COA!$C$5:$C$59,MATCH(JURNAL!E468,COA!$B$5:$B$59,0)),"")</f>
        <v>Biaya ekspedisi &amp; ongkir</v>
      </c>
      <c r="G468" s="204"/>
      <c r="H468" s="204">
        <v>345000</v>
      </c>
    </row>
    <row r="469" spans="2:8" ht="15.75" customHeight="1" x14ac:dyDescent="0.2">
      <c r="B469" s="30" t="s">
        <v>643</v>
      </c>
      <c r="C469" s="24"/>
      <c r="D469" s="61" t="s">
        <v>291</v>
      </c>
      <c r="E469" s="24">
        <v>4110</v>
      </c>
      <c r="F469" s="24" t="str">
        <f t="array" ref="F469">IFERROR(INDEX(COA!$C$5:$C$59,MATCH(JURNAL!E469,COA!$B$5:$B$59,0)),"")</f>
        <v>Pendapatan jasa</v>
      </c>
      <c r="G469" s="204">
        <v>14926498</v>
      </c>
      <c r="H469" s="204"/>
    </row>
    <row r="470" spans="2:8" ht="15.75" customHeight="1" x14ac:dyDescent="0.2">
      <c r="B470" s="30" t="s">
        <v>643</v>
      </c>
      <c r="C470" s="198"/>
      <c r="D470" s="202" t="s">
        <v>644</v>
      </c>
      <c r="E470" s="200">
        <v>5200</v>
      </c>
      <c r="F470" s="24" t="str">
        <f t="array" ref="F470">IFERROR(INDEX(COA!$C$5:$C$59,MATCH(JURNAL!E470,COA!$B$5:$B$59,0)),"")</f>
        <v xml:space="preserve">Konsumsi lembur &amp; Meeting </v>
      </c>
      <c r="G470" s="204"/>
      <c r="H470" s="204">
        <v>100000</v>
      </c>
    </row>
    <row r="471" spans="2:8" ht="15.75" customHeight="1" x14ac:dyDescent="0.2">
      <c r="B471" s="30" t="s">
        <v>643</v>
      </c>
      <c r="C471" s="198"/>
      <c r="D471" s="202" t="s">
        <v>408</v>
      </c>
      <c r="E471" s="200">
        <v>5108</v>
      </c>
      <c r="F471" s="24" t="str">
        <f t="array" ref="F471">IFERROR(INDEX(COA!$C$5:$C$59,MATCH(JURNAL!E471,COA!$B$5:$B$59,0)),"")</f>
        <v>Beban gaji tukang</v>
      </c>
      <c r="G471" s="204"/>
      <c r="H471" s="204">
        <v>802000</v>
      </c>
    </row>
    <row r="472" spans="2:8" ht="15.75" customHeight="1" x14ac:dyDescent="0.2">
      <c r="B472" s="30" t="s">
        <v>643</v>
      </c>
      <c r="C472" s="198"/>
      <c r="D472" s="202" t="s">
        <v>409</v>
      </c>
      <c r="E472" s="200">
        <v>5108</v>
      </c>
      <c r="F472" s="24" t="str">
        <f t="array" ref="F472">IFERROR(INDEX(COA!$C$5:$C$59,MATCH(JURNAL!E472,COA!$B$5:$B$59,0)),"")</f>
        <v>Beban gaji tukang</v>
      </c>
      <c r="G472" s="204"/>
      <c r="H472" s="204">
        <v>702000</v>
      </c>
    </row>
    <row r="473" spans="2:8" ht="15.75" customHeight="1" x14ac:dyDescent="0.2">
      <c r="B473" s="30" t="s">
        <v>643</v>
      </c>
      <c r="C473" s="198"/>
      <c r="D473" s="202" t="s">
        <v>410</v>
      </c>
      <c r="E473" s="200">
        <v>5108</v>
      </c>
      <c r="F473" s="24" t="str">
        <f t="array" ref="F473">IFERROR(INDEX(COA!$C$5:$C$59,MATCH(JURNAL!E473,COA!$B$5:$B$59,0)),"")</f>
        <v>Beban gaji tukang</v>
      </c>
      <c r="G473" s="204"/>
      <c r="H473" s="204">
        <v>680000</v>
      </c>
    </row>
    <row r="474" spans="2:8" ht="15.75" customHeight="1" x14ac:dyDescent="0.2">
      <c r="B474" s="30" t="s">
        <v>643</v>
      </c>
      <c r="C474" s="198"/>
      <c r="D474" s="202" t="s">
        <v>411</v>
      </c>
      <c r="E474" s="200">
        <v>5108</v>
      </c>
      <c r="F474" s="24" t="str">
        <f t="array" ref="F474">IFERROR(INDEX(COA!$C$5:$C$59,MATCH(JURNAL!E474,COA!$B$5:$B$59,0)),"")</f>
        <v>Beban gaji tukang</v>
      </c>
      <c r="G474" s="204"/>
      <c r="H474" s="204">
        <v>624000</v>
      </c>
    </row>
    <row r="475" spans="2:8" ht="15.75" customHeight="1" x14ac:dyDescent="0.2">
      <c r="B475" s="30" t="s">
        <v>643</v>
      </c>
      <c r="C475" s="198"/>
      <c r="D475" s="202" t="s">
        <v>645</v>
      </c>
      <c r="E475" s="200">
        <v>5108</v>
      </c>
      <c r="F475" s="24" t="str">
        <f t="array" ref="F475">IFERROR(INDEX(COA!$C$5:$C$59,MATCH(JURNAL!E475,COA!$B$5:$B$59,0)),"")</f>
        <v>Beban gaji tukang</v>
      </c>
      <c r="G475" s="204"/>
      <c r="H475" s="204">
        <v>600000</v>
      </c>
    </row>
    <row r="476" spans="2:8" ht="15.75" customHeight="1" x14ac:dyDescent="0.2">
      <c r="B476" s="30" t="s">
        <v>643</v>
      </c>
      <c r="C476" s="198"/>
      <c r="D476" s="202" t="s">
        <v>412</v>
      </c>
      <c r="E476" s="200">
        <v>5108</v>
      </c>
      <c r="F476" s="24" t="str">
        <f t="array" ref="F476">IFERROR(INDEX(COA!$C$5:$C$59,MATCH(JURNAL!E476,COA!$B$5:$B$59,0)),"")</f>
        <v>Beban gaji tukang</v>
      </c>
      <c r="G476" s="204"/>
      <c r="H476" s="204">
        <v>742000</v>
      </c>
    </row>
    <row r="477" spans="2:8" ht="15.75" customHeight="1" x14ac:dyDescent="0.2">
      <c r="B477" s="30" t="s">
        <v>643</v>
      </c>
      <c r="C477" s="198"/>
      <c r="D477" s="202" t="s">
        <v>413</v>
      </c>
      <c r="E477" s="200">
        <v>5108</v>
      </c>
      <c r="F477" s="24" t="str">
        <f t="array" ref="F477">IFERROR(INDEX(COA!$C$5:$C$59,MATCH(JURNAL!E477,COA!$B$5:$B$59,0)),"")</f>
        <v>Beban gaji tukang</v>
      </c>
      <c r="G477" s="204"/>
      <c r="H477" s="204">
        <v>652000</v>
      </c>
    </row>
    <row r="478" spans="2:8" ht="15.75" customHeight="1" x14ac:dyDescent="0.2">
      <c r="B478" s="30" t="s">
        <v>643</v>
      </c>
      <c r="C478" s="198"/>
      <c r="D478" s="202" t="s">
        <v>419</v>
      </c>
      <c r="E478" s="200">
        <v>5108</v>
      </c>
      <c r="F478" s="24" t="str">
        <f t="array" ref="F478">IFERROR(INDEX(COA!$C$5:$C$59,MATCH(JURNAL!E478,COA!$B$5:$B$59,0)),"")</f>
        <v>Beban gaji tukang</v>
      </c>
      <c r="G478" s="204"/>
      <c r="H478" s="204">
        <v>100000</v>
      </c>
    </row>
    <row r="479" spans="2:8" ht="15.75" customHeight="1" x14ac:dyDescent="0.2">
      <c r="B479" s="30" t="s">
        <v>643</v>
      </c>
      <c r="C479" s="198"/>
      <c r="D479" s="202" t="s">
        <v>646</v>
      </c>
      <c r="E479" s="200">
        <v>5108</v>
      </c>
      <c r="F479" s="24" t="str">
        <f t="array" ref="F479">IFERROR(INDEX(COA!$C$5:$C$59,MATCH(JURNAL!E479,COA!$B$5:$B$59,0)),"")</f>
        <v>Beban gaji tukang</v>
      </c>
      <c r="G479" s="204"/>
      <c r="H479" s="204">
        <v>200000</v>
      </c>
    </row>
    <row r="480" spans="2:8" ht="15.75" customHeight="1" x14ac:dyDescent="0.2">
      <c r="B480" s="30" t="s">
        <v>643</v>
      </c>
      <c r="C480" s="198"/>
      <c r="D480" s="202" t="s">
        <v>415</v>
      </c>
      <c r="E480" s="200">
        <v>5108</v>
      </c>
      <c r="F480" s="24" t="str">
        <f t="array" ref="F480">IFERROR(INDEX(COA!$C$5:$C$59,MATCH(JURNAL!E480,COA!$B$5:$B$59,0)),"")</f>
        <v>Beban gaji tukang</v>
      </c>
      <c r="G480" s="204"/>
      <c r="H480" s="204">
        <v>500000</v>
      </c>
    </row>
    <row r="481" spans="2:8" ht="15.75" customHeight="1" x14ac:dyDescent="0.2">
      <c r="B481" s="30" t="s">
        <v>643</v>
      </c>
      <c r="C481" s="198"/>
      <c r="D481" s="202" t="s">
        <v>414</v>
      </c>
      <c r="E481" s="200">
        <v>5108</v>
      </c>
      <c r="F481" s="24" t="str">
        <f t="array" ref="F481">IFERROR(INDEX(COA!$C$5:$C$59,MATCH(JURNAL!E481,COA!$B$5:$B$59,0)),"")</f>
        <v>Beban gaji tukang</v>
      </c>
      <c r="G481" s="204"/>
      <c r="H481" s="204">
        <v>600000</v>
      </c>
    </row>
    <row r="482" spans="2:8" ht="15.75" customHeight="1" x14ac:dyDescent="0.2">
      <c r="B482" s="30" t="s">
        <v>643</v>
      </c>
      <c r="C482" s="198"/>
      <c r="D482" s="202" t="s">
        <v>418</v>
      </c>
      <c r="E482" s="200">
        <v>5108</v>
      </c>
      <c r="F482" s="24" t="str">
        <f t="array" ref="F482">IFERROR(INDEX(COA!$C$5:$C$59,MATCH(JURNAL!E482,COA!$B$5:$B$59,0)),"")</f>
        <v>Beban gaji tukang</v>
      </c>
      <c r="G482" s="204"/>
      <c r="H482" s="204">
        <v>416667</v>
      </c>
    </row>
    <row r="483" spans="2:8" ht="15.75" customHeight="1" x14ac:dyDescent="0.2">
      <c r="B483" s="30" t="s">
        <v>643</v>
      </c>
      <c r="C483" s="198"/>
      <c r="D483" s="202" t="s">
        <v>409</v>
      </c>
      <c r="E483" s="200">
        <v>5108</v>
      </c>
      <c r="F483" s="24" t="str">
        <f t="array" ref="F483">IFERROR(INDEX(COA!$C$5:$C$59,MATCH(JURNAL!E483,COA!$B$5:$B$59,0)),"")</f>
        <v>Beban gaji tukang</v>
      </c>
      <c r="G483" s="204"/>
      <c r="H483" s="204">
        <v>500000</v>
      </c>
    </row>
    <row r="484" spans="2:8" ht="15.75" customHeight="1" x14ac:dyDescent="0.2">
      <c r="B484" s="30" t="s">
        <v>643</v>
      </c>
      <c r="C484" s="198"/>
      <c r="D484" s="202" t="s">
        <v>579</v>
      </c>
      <c r="E484" s="200">
        <v>5108</v>
      </c>
      <c r="F484" s="24" t="str">
        <f t="array" ref="F484">IFERROR(INDEX(COA!$C$5:$C$59,MATCH(JURNAL!E484,COA!$B$5:$B$59,0)),"")</f>
        <v>Beban gaji tukang</v>
      </c>
      <c r="G484" s="204"/>
      <c r="H484" s="204">
        <v>333333</v>
      </c>
    </row>
    <row r="485" spans="2:8" ht="15.75" customHeight="1" x14ac:dyDescent="0.2">
      <c r="B485" s="30" t="s">
        <v>643</v>
      </c>
      <c r="C485" s="198"/>
      <c r="D485" s="202" t="s">
        <v>647</v>
      </c>
      <c r="E485" s="200">
        <v>5108</v>
      </c>
      <c r="F485" s="24" t="str">
        <f t="array" ref="F485">IFERROR(INDEX(COA!$C$5:$C$59,MATCH(JURNAL!E485,COA!$B$5:$B$59,0)),"")</f>
        <v>Beban gaji tukang</v>
      </c>
      <c r="G485" s="204"/>
      <c r="H485" s="204">
        <v>333333</v>
      </c>
    </row>
    <row r="486" spans="2:8" ht="15.75" customHeight="1" x14ac:dyDescent="0.2">
      <c r="B486" s="30" t="s">
        <v>643</v>
      </c>
      <c r="C486" s="198"/>
      <c r="D486" s="202" t="s">
        <v>648</v>
      </c>
      <c r="E486" s="200">
        <v>5108</v>
      </c>
      <c r="F486" s="24" t="str">
        <f t="array" ref="F486">IFERROR(INDEX(COA!$C$5:$C$59,MATCH(JURNAL!E486,COA!$B$5:$B$59,0)),"")</f>
        <v>Beban gaji tukang</v>
      </c>
      <c r="G486" s="204"/>
      <c r="H486" s="204">
        <v>416667</v>
      </c>
    </row>
    <row r="487" spans="2:8" ht="15.75" customHeight="1" x14ac:dyDescent="0.2">
      <c r="B487" s="30" t="s">
        <v>643</v>
      </c>
      <c r="C487" s="198"/>
      <c r="D487" s="202" t="s">
        <v>349</v>
      </c>
      <c r="E487" s="200">
        <v>5440</v>
      </c>
      <c r="F487" s="24" t="str">
        <f t="array" ref="F487">IFERROR(INDEX(COA!$C$5:$C$59,MATCH(JURNAL!E487,COA!$B$5:$B$59,0)),"")</f>
        <v>ADS</v>
      </c>
      <c r="G487" s="204"/>
      <c r="H487" s="204">
        <v>5000369</v>
      </c>
    </row>
    <row r="488" spans="2:8" ht="15.75" customHeight="1" x14ac:dyDescent="0.2">
      <c r="B488" s="30" t="s">
        <v>643</v>
      </c>
      <c r="C488" s="198"/>
      <c r="D488" s="202" t="s">
        <v>649</v>
      </c>
      <c r="E488" s="200"/>
      <c r="F488" s="24" t="str">
        <f t="array" ref="F488">IFERROR(INDEX(COA!$C$5:$C$59,MATCH(JURNAL!E488,COA!$B$5:$B$59,0)),"")</f>
        <v/>
      </c>
      <c r="G488" s="204"/>
      <c r="H488" s="204">
        <v>201000</v>
      </c>
    </row>
    <row r="489" spans="2:8" ht="15.75" customHeight="1" x14ac:dyDescent="0.2">
      <c r="B489" s="30" t="s">
        <v>643</v>
      </c>
      <c r="C489" s="198"/>
      <c r="D489" s="202" t="s">
        <v>650</v>
      </c>
      <c r="E489" s="200"/>
      <c r="F489" s="24" t="str">
        <f t="array" ref="F489">IFERROR(INDEX(COA!$C$5:$C$59,MATCH(JURNAL!E489,COA!$B$5:$B$59,0)),"")</f>
        <v/>
      </c>
      <c r="G489" s="204"/>
      <c r="H489" s="204">
        <v>237500</v>
      </c>
    </row>
    <row r="490" spans="2:8" ht="15.75" customHeight="1" x14ac:dyDescent="0.2">
      <c r="B490" s="30" t="s">
        <v>643</v>
      </c>
      <c r="C490" s="198"/>
      <c r="D490" s="202" t="s">
        <v>651</v>
      </c>
      <c r="E490" s="200">
        <v>6130</v>
      </c>
      <c r="F490" s="24" t="str">
        <f t="array" ref="F490">IFERROR(INDEX(COA!$C$5:$C$59,MATCH(JURNAL!E490,COA!$B$5:$B$59,0)),"")</f>
        <v/>
      </c>
      <c r="G490" s="204"/>
      <c r="H490" s="204">
        <v>800000</v>
      </c>
    </row>
    <row r="491" spans="2:8" ht="15.75" customHeight="1" x14ac:dyDescent="0.2">
      <c r="B491" s="30" t="s">
        <v>643</v>
      </c>
      <c r="C491" s="198"/>
      <c r="D491" s="202" t="s">
        <v>652</v>
      </c>
      <c r="E491" s="200">
        <v>5310</v>
      </c>
      <c r="F491" s="24" t="str">
        <f t="array" ref="F491">IFERROR(INDEX(COA!$C$5:$C$59,MATCH(JURNAL!E491,COA!$B$5:$B$59,0)),"")</f>
        <v>Biaya ekspedisi &amp; ongkir</v>
      </c>
      <c r="G491" s="204"/>
      <c r="H491" s="204">
        <v>50000</v>
      </c>
    </row>
    <row r="492" spans="2:8" ht="15.75" customHeight="1" x14ac:dyDescent="0.2">
      <c r="B492" s="30" t="s">
        <v>643</v>
      </c>
      <c r="C492" s="198"/>
      <c r="D492" s="202" t="s">
        <v>653</v>
      </c>
      <c r="E492" s="200">
        <v>4170</v>
      </c>
      <c r="F492" s="24" t="str">
        <f t="array" ref="F492">IFERROR(INDEX(COA!$C$5:$C$59,MATCH(JURNAL!E492,COA!$B$5:$B$59,0)),"")</f>
        <v>Retur &amp; Refund</v>
      </c>
      <c r="G492" s="204"/>
      <c r="H492" s="204">
        <v>60000</v>
      </c>
    </row>
    <row r="493" spans="2:8" ht="15.75" customHeight="1" x14ac:dyDescent="0.2">
      <c r="B493" s="30" t="s">
        <v>643</v>
      </c>
      <c r="C493" s="198"/>
      <c r="D493" s="202" t="s">
        <v>654</v>
      </c>
      <c r="E493" s="200">
        <v>5200</v>
      </c>
      <c r="F493" s="24" t="str">
        <f t="array" ref="F493">IFERROR(INDEX(COA!$C$5:$C$59,MATCH(JURNAL!E493,COA!$B$5:$B$59,0)),"")</f>
        <v xml:space="preserve">Konsumsi lembur &amp; Meeting </v>
      </c>
      <c r="G493" s="204"/>
      <c r="H493" s="204">
        <v>75000</v>
      </c>
    </row>
    <row r="494" spans="2:8" ht="15.75" customHeight="1" x14ac:dyDescent="0.2">
      <c r="B494" s="30" t="s">
        <v>643</v>
      </c>
      <c r="C494" s="198"/>
      <c r="D494" s="202" t="s">
        <v>655</v>
      </c>
      <c r="E494" s="200"/>
      <c r="F494" s="24" t="str">
        <f t="array" ref="F494">IFERROR(INDEX(COA!$C$5:$C$59,MATCH(JURNAL!E494,COA!$B$5:$B$59,0)),"")</f>
        <v/>
      </c>
      <c r="G494" s="204"/>
      <c r="H494" s="204">
        <v>15000</v>
      </c>
    </row>
    <row r="495" spans="2:8" ht="15.75" customHeight="1" x14ac:dyDescent="0.2">
      <c r="B495" s="30" t="s">
        <v>643</v>
      </c>
      <c r="C495" s="198"/>
      <c r="D495" s="202" t="s">
        <v>656</v>
      </c>
      <c r="E495" s="200">
        <v>6090</v>
      </c>
      <c r="F495" s="24" t="str">
        <f t="array" ref="F495">IFERROR(INDEX(COA!$C$5:$C$59,MATCH(JURNAL!E495,COA!$B$5:$B$59,0)),"")</f>
        <v/>
      </c>
      <c r="G495" s="204"/>
      <c r="H495" s="204">
        <v>5000</v>
      </c>
    </row>
    <row r="496" spans="2:8" ht="15.75" customHeight="1" x14ac:dyDescent="0.2">
      <c r="B496" s="30" t="s">
        <v>657</v>
      </c>
      <c r="C496" s="24"/>
      <c r="D496" s="201" t="s">
        <v>291</v>
      </c>
      <c r="E496" s="24">
        <v>4110</v>
      </c>
      <c r="F496" s="24" t="str">
        <f t="array" ref="F496">IFERROR(INDEX(COA!$C$5:$C$59,MATCH(JURNAL!E496,COA!$B$5:$B$59,0)),"")</f>
        <v>Pendapatan jasa</v>
      </c>
      <c r="G496" s="204">
        <v>18226624</v>
      </c>
      <c r="H496" s="204"/>
    </row>
    <row r="497" spans="2:8" ht="15.75" customHeight="1" x14ac:dyDescent="0.2">
      <c r="B497" s="30" t="s">
        <v>657</v>
      </c>
      <c r="C497" s="24"/>
      <c r="D497" s="205" t="s">
        <v>229</v>
      </c>
      <c r="E497" s="24">
        <v>4120</v>
      </c>
      <c r="F497" s="24" t="str">
        <f t="array" ref="F497">IFERROR(INDEX(COA!$C$5:$C$59,MATCH(JURNAL!E497,COA!$B$5:$B$59,0)),"")</f>
        <v>pendapatan shoepolice</v>
      </c>
      <c r="G497" s="204">
        <v>5880000</v>
      </c>
      <c r="H497" s="204"/>
    </row>
    <row r="498" spans="2:8" ht="15.75" customHeight="1" x14ac:dyDescent="0.2">
      <c r="B498" s="30" t="s">
        <v>657</v>
      </c>
      <c r="C498" s="198"/>
      <c r="D498" s="202" t="s">
        <v>351</v>
      </c>
      <c r="E498" s="200"/>
      <c r="F498" s="24" t="str">
        <f t="array" ref="F498">IFERROR(INDEX(COA!$C$5:$C$59,MATCH(JURNAL!E498,COA!$B$5:$B$59,0)),"")</f>
        <v/>
      </c>
      <c r="G498" s="204"/>
      <c r="H498" s="204">
        <v>100000</v>
      </c>
    </row>
    <row r="499" spans="2:8" ht="15.75" customHeight="1" x14ac:dyDescent="0.2">
      <c r="B499" s="30" t="s">
        <v>657</v>
      </c>
      <c r="C499" s="198"/>
      <c r="D499" s="202" t="s">
        <v>658</v>
      </c>
      <c r="E499" s="200">
        <v>5300</v>
      </c>
      <c r="F499" s="24" t="str">
        <f t="array" ref="F499">IFERROR(INDEX(COA!$C$5:$C$59,MATCH(JURNAL!E499,COA!$B$5:$B$59,0)),"")</f>
        <v>Biaya packaging</v>
      </c>
      <c r="G499" s="204"/>
      <c r="H499" s="204">
        <v>63000</v>
      </c>
    </row>
    <row r="500" spans="2:8" ht="15.75" customHeight="1" x14ac:dyDescent="0.2">
      <c r="B500" s="30" t="s">
        <v>657</v>
      </c>
      <c r="C500" s="198"/>
      <c r="D500" s="202" t="s">
        <v>379</v>
      </c>
      <c r="E500" s="200">
        <v>5450</v>
      </c>
      <c r="F500" s="24" t="str">
        <f t="array" ref="F500">IFERROR(INDEX(COA!$C$5:$C$59,MATCH(JURNAL!E500,COA!$B$5:$B$59,0)),"")</f>
        <v>WA API</v>
      </c>
      <c r="G500" s="204"/>
      <c r="H500" s="204">
        <v>907600</v>
      </c>
    </row>
    <row r="501" spans="2:8" ht="15.75" customHeight="1" x14ac:dyDescent="0.2">
      <c r="B501" s="30" t="s">
        <v>657</v>
      </c>
      <c r="C501" s="198"/>
      <c r="D501" s="202" t="s">
        <v>659</v>
      </c>
      <c r="E501" s="200">
        <v>5108</v>
      </c>
      <c r="F501" s="24" t="str">
        <f t="array" ref="F501">IFERROR(INDEX(COA!$C$5:$C$59,MATCH(JURNAL!E501,COA!$B$5:$B$59,0)),"")</f>
        <v>Beban gaji tukang</v>
      </c>
      <c r="G501" s="204"/>
      <c r="H501" s="204">
        <v>1026667</v>
      </c>
    </row>
    <row r="502" spans="2:8" ht="15.75" customHeight="1" x14ac:dyDescent="0.2">
      <c r="B502" s="30" t="s">
        <v>657</v>
      </c>
      <c r="C502" s="198"/>
      <c r="D502" s="202" t="s">
        <v>660</v>
      </c>
      <c r="E502" s="200">
        <v>6120</v>
      </c>
      <c r="F502" s="24" t="str">
        <f t="array" ref="F502">IFERROR(INDEX(COA!$C$5:$C$59,MATCH(JURNAL!E502,COA!$B$5:$B$59,0)),"")</f>
        <v/>
      </c>
      <c r="G502" s="204"/>
      <c r="H502" s="204">
        <v>20000</v>
      </c>
    </row>
    <row r="503" spans="2:8" ht="15.75" customHeight="1" x14ac:dyDescent="0.2">
      <c r="B503" s="30" t="s">
        <v>657</v>
      </c>
      <c r="C503" s="198"/>
      <c r="D503" s="202" t="s">
        <v>661</v>
      </c>
      <c r="E503" s="200">
        <v>4170</v>
      </c>
      <c r="F503" s="24" t="str">
        <f t="array" ref="F503">IFERROR(INDEX(COA!$C$5:$C$59,MATCH(JURNAL!E503,COA!$B$5:$B$59,0)),"")</f>
        <v>Retur &amp; Refund</v>
      </c>
      <c r="G503" s="204"/>
      <c r="H503" s="204">
        <v>40000</v>
      </c>
    </row>
    <row r="504" spans="2:8" ht="15.75" customHeight="1" x14ac:dyDescent="0.2">
      <c r="B504" s="30" t="s">
        <v>657</v>
      </c>
      <c r="C504" s="198"/>
      <c r="D504" s="202" t="s">
        <v>662</v>
      </c>
      <c r="E504" s="200">
        <v>6040</v>
      </c>
      <c r="F504" s="24" t="str">
        <f t="array" ref="F504">IFERROR(INDEX(COA!$C$5:$C$59,MATCH(JURNAL!E504,COA!$B$5:$B$59,0)),"")</f>
        <v/>
      </c>
      <c r="G504" s="204"/>
      <c r="H504" s="204">
        <v>100000</v>
      </c>
    </row>
    <row r="505" spans="2:8" ht="15.75" customHeight="1" x14ac:dyDescent="0.2">
      <c r="B505" s="30" t="s">
        <v>663</v>
      </c>
      <c r="C505" s="24"/>
      <c r="D505" s="61" t="s">
        <v>291</v>
      </c>
      <c r="E505" s="24">
        <v>4110</v>
      </c>
      <c r="F505" s="24" t="str">
        <f t="array" ref="F505">IFERROR(INDEX(COA!$C$5:$C$59,MATCH(JURNAL!E505,COA!$B$5:$B$59,0)),"")</f>
        <v>Pendapatan jasa</v>
      </c>
      <c r="G505" s="204">
        <v>9322900</v>
      </c>
      <c r="H505" s="204"/>
    </row>
    <row r="506" spans="2:8" ht="15.75" customHeight="1" x14ac:dyDescent="0.2">
      <c r="B506" s="30" t="s">
        <v>663</v>
      </c>
      <c r="C506" s="198"/>
      <c r="D506" s="202" t="s">
        <v>664</v>
      </c>
      <c r="E506" s="200">
        <v>8000</v>
      </c>
      <c r="F506" s="24" t="str">
        <f t="array" ref="F506">IFERROR(INDEX(COA!$C$5:$C$59,MATCH(JURNAL!E506,COA!$B$5:$B$59,0)),"")</f>
        <v/>
      </c>
      <c r="G506" s="204"/>
      <c r="H506" s="204">
        <v>13000</v>
      </c>
    </row>
    <row r="507" spans="2:8" ht="15.75" customHeight="1" x14ac:dyDescent="0.2">
      <c r="B507" s="30" t="s">
        <v>663</v>
      </c>
      <c r="C507" s="198"/>
      <c r="D507" s="202" t="s">
        <v>665</v>
      </c>
      <c r="E507" s="200">
        <v>8000</v>
      </c>
      <c r="F507" s="24" t="str">
        <f t="array" ref="F507">IFERROR(INDEX(COA!$C$5:$C$59,MATCH(JURNAL!E507,COA!$B$5:$B$59,0)),"")</f>
        <v/>
      </c>
      <c r="G507" s="204"/>
      <c r="H507" s="204">
        <v>25000</v>
      </c>
    </row>
    <row r="508" spans="2:8" ht="15.75" customHeight="1" x14ac:dyDescent="0.2">
      <c r="B508" s="30" t="s">
        <v>663</v>
      </c>
      <c r="C508" s="198"/>
      <c r="D508" s="202" t="s">
        <v>666</v>
      </c>
      <c r="E508" s="200">
        <v>8000</v>
      </c>
      <c r="F508" s="24" t="str">
        <f t="array" ref="F508">IFERROR(INDEX(COA!$C$5:$C$59,MATCH(JURNAL!E508,COA!$B$5:$B$59,0)),"")</f>
        <v/>
      </c>
      <c r="G508" s="204"/>
      <c r="H508" s="204">
        <v>437</v>
      </c>
    </row>
    <row r="509" spans="2:8" ht="15.75" customHeight="1" x14ac:dyDescent="0.2">
      <c r="B509" s="30" t="s">
        <v>663</v>
      </c>
      <c r="C509" s="198"/>
      <c r="D509" s="202" t="s">
        <v>667</v>
      </c>
      <c r="E509" s="200">
        <v>6100</v>
      </c>
      <c r="F509" s="24" t="str">
        <f t="array" ref="F509">IFERROR(INDEX(COA!$C$5:$C$59,MATCH(JURNAL!E509,COA!$B$5:$B$59,0)),"")</f>
        <v/>
      </c>
      <c r="G509" s="204"/>
      <c r="H509" s="204">
        <v>15000</v>
      </c>
    </row>
    <row r="510" spans="2:8" ht="15.75" customHeight="1" x14ac:dyDescent="0.2">
      <c r="B510" s="30" t="s">
        <v>663</v>
      </c>
      <c r="C510" s="198"/>
      <c r="D510" s="202" t="s">
        <v>668</v>
      </c>
      <c r="E510" s="200">
        <v>5300</v>
      </c>
      <c r="F510" s="24" t="str">
        <f t="array" ref="F510">IFERROR(INDEX(COA!$C$5:$C$59,MATCH(JURNAL!E510,COA!$B$5:$B$59,0)),"")</f>
        <v>Biaya packaging</v>
      </c>
      <c r="G510" s="204"/>
      <c r="H510" s="204">
        <v>38000</v>
      </c>
    </row>
    <row r="511" spans="2:8" ht="15.75" customHeight="1" x14ac:dyDescent="0.2">
      <c r="B511" s="30" t="s">
        <v>663</v>
      </c>
      <c r="C511" s="198"/>
      <c r="D511" s="202" t="s">
        <v>669</v>
      </c>
      <c r="E511" s="200">
        <v>6090</v>
      </c>
      <c r="F511" s="24" t="str">
        <f t="array" ref="F511">IFERROR(INDEX(COA!$C$5:$C$59,MATCH(JURNAL!E511,COA!$B$5:$B$59,0)),"")</f>
        <v/>
      </c>
      <c r="G511" s="204"/>
      <c r="H511" s="204">
        <v>50000</v>
      </c>
    </row>
    <row r="512" spans="2:8" ht="15.75" customHeight="1" x14ac:dyDescent="0.2">
      <c r="B512" s="30" t="s">
        <v>663</v>
      </c>
      <c r="C512" s="198"/>
      <c r="D512" s="202" t="s">
        <v>670</v>
      </c>
      <c r="E512" s="200">
        <v>5310</v>
      </c>
      <c r="F512" s="24" t="str">
        <f t="array" ref="F512">IFERROR(INDEX(COA!$C$5:$C$59,MATCH(JURNAL!E512,COA!$B$5:$B$59,0)),"")</f>
        <v>Biaya ekspedisi &amp; ongkir</v>
      </c>
      <c r="G512" s="204"/>
      <c r="H512" s="204">
        <v>167000</v>
      </c>
    </row>
    <row r="513" spans="2:8" ht="15.75" customHeight="1" x14ac:dyDescent="0.2">
      <c r="B513" s="30" t="s">
        <v>663</v>
      </c>
      <c r="C513" s="198"/>
      <c r="D513" s="202" t="s">
        <v>671</v>
      </c>
      <c r="E513" s="200">
        <v>5200</v>
      </c>
      <c r="F513" s="24" t="str">
        <f t="array" ref="F513">IFERROR(INDEX(COA!$C$5:$C$59,MATCH(JURNAL!E513,COA!$B$5:$B$59,0)),"")</f>
        <v xml:space="preserve">Konsumsi lembur &amp; Meeting </v>
      </c>
      <c r="G513" s="204"/>
      <c r="H513" s="204">
        <v>34000</v>
      </c>
    </row>
    <row r="514" spans="2:8" ht="15.75" customHeight="1" x14ac:dyDescent="0.2">
      <c r="B514" s="30" t="s">
        <v>663</v>
      </c>
      <c r="C514" s="198"/>
      <c r="D514" s="202" t="s">
        <v>672</v>
      </c>
      <c r="E514" s="200">
        <v>4170</v>
      </c>
      <c r="F514" s="24" t="str">
        <f t="array" ref="F514">IFERROR(INDEX(COA!$C$5:$C$59,MATCH(JURNAL!E514,COA!$B$5:$B$59,0)),"")</f>
        <v>Retur &amp; Refund</v>
      </c>
      <c r="G514" s="204"/>
      <c r="H514" s="204">
        <v>270000</v>
      </c>
    </row>
    <row r="515" spans="2:8" ht="15.75" customHeight="1" x14ac:dyDescent="0.2">
      <c r="B515" s="30" t="s">
        <v>663</v>
      </c>
      <c r="C515" s="198"/>
      <c r="D515" s="202" t="s">
        <v>673</v>
      </c>
      <c r="E515" s="200">
        <v>4170</v>
      </c>
      <c r="F515" s="24" t="str">
        <f t="array" ref="F515">IFERROR(INDEX(COA!$C$5:$C$59,MATCH(JURNAL!E515,COA!$B$5:$B$59,0)),"")</f>
        <v>Retur &amp; Refund</v>
      </c>
      <c r="G515" s="204"/>
      <c r="H515" s="204">
        <v>120000</v>
      </c>
    </row>
    <row r="516" spans="2:8" ht="15.75" customHeight="1" x14ac:dyDescent="0.2">
      <c r="B516" s="30" t="s">
        <v>663</v>
      </c>
      <c r="C516" s="198"/>
      <c r="D516" s="202" t="s">
        <v>674</v>
      </c>
      <c r="E516" s="200">
        <v>5310</v>
      </c>
      <c r="F516" s="24" t="str">
        <f t="array" ref="F516">IFERROR(INDEX(COA!$C$5:$C$59,MATCH(JURNAL!E516,COA!$B$5:$B$59,0)),"")</f>
        <v>Biaya ekspedisi &amp; ongkir</v>
      </c>
      <c r="G516" s="204"/>
      <c r="H516" s="204">
        <v>11000</v>
      </c>
    </row>
    <row r="517" spans="2:8" ht="15.75" customHeight="1" x14ac:dyDescent="0.2">
      <c r="B517" s="30" t="s">
        <v>663</v>
      </c>
      <c r="C517" s="198"/>
      <c r="D517" s="202" t="s">
        <v>675</v>
      </c>
      <c r="E517" s="200">
        <v>5310</v>
      </c>
      <c r="F517" s="24" t="str">
        <f t="array" ref="F517">IFERROR(INDEX(COA!$C$5:$C$59,MATCH(JURNAL!E517,COA!$B$5:$B$59,0)),"")</f>
        <v>Biaya ekspedisi &amp; ongkir</v>
      </c>
      <c r="G517" s="204"/>
      <c r="H517" s="204">
        <v>30000</v>
      </c>
    </row>
    <row r="518" spans="2:8" ht="15.75" customHeight="1" x14ac:dyDescent="0.2">
      <c r="B518" s="30" t="s">
        <v>663</v>
      </c>
      <c r="C518" s="198"/>
      <c r="D518" s="202" t="s">
        <v>676</v>
      </c>
      <c r="E518" s="200">
        <v>5310</v>
      </c>
      <c r="F518" s="24" t="str">
        <f t="array" ref="F518">IFERROR(INDEX(COA!$C$5:$C$59,MATCH(JURNAL!E518,COA!$B$5:$B$59,0)),"")</f>
        <v>Biaya ekspedisi &amp; ongkir</v>
      </c>
      <c r="G518" s="204"/>
      <c r="H518" s="204">
        <v>51000</v>
      </c>
    </row>
    <row r="519" spans="2:8" ht="15.75" customHeight="1" x14ac:dyDescent="0.2">
      <c r="B519" s="30" t="s">
        <v>663</v>
      </c>
      <c r="C519" s="198"/>
      <c r="D519" s="202" t="s">
        <v>677</v>
      </c>
      <c r="E519" s="200">
        <v>5310</v>
      </c>
      <c r="F519" s="24" t="str">
        <f t="array" ref="F519">IFERROR(INDEX(COA!$C$5:$C$59,MATCH(JURNAL!E519,COA!$B$5:$B$59,0)),"")</f>
        <v>Biaya ekspedisi &amp; ongkir</v>
      </c>
      <c r="G519" s="204"/>
      <c r="H519" s="204">
        <v>20500</v>
      </c>
    </row>
    <row r="520" spans="2:8" ht="15.75" customHeight="1" x14ac:dyDescent="0.2">
      <c r="B520" s="30" t="s">
        <v>663</v>
      </c>
      <c r="C520" s="24"/>
      <c r="D520" s="201" t="s">
        <v>678</v>
      </c>
      <c r="E520" s="24">
        <v>6000</v>
      </c>
      <c r="F520" s="24" t="str">
        <f t="array" ref="F520">IFERROR(INDEX(COA!$C$5:$C$59,MATCH(JURNAL!E520,COA!$B$5:$B$59,0)),"")</f>
        <v/>
      </c>
      <c r="G520" s="204"/>
      <c r="H520" s="204">
        <v>20000</v>
      </c>
    </row>
    <row r="521" spans="2:8" ht="15.75" customHeight="1" x14ac:dyDescent="0.2">
      <c r="B521" s="30"/>
      <c r="C521" s="24"/>
      <c r="D521" s="24"/>
      <c r="E521" s="24"/>
      <c r="F521" s="24" t="str">
        <f t="array" ref="F521">IFERROR(INDEX(COA!$C$5:$C$59,MATCH(JURNAL!E521,COA!$B$5:$B$59,0)),"")</f>
        <v/>
      </c>
      <c r="G521" s="204"/>
      <c r="H521" s="204"/>
    </row>
    <row r="522" spans="2:8" ht="15.75" customHeight="1" x14ac:dyDescent="0.2">
      <c r="B522" s="30"/>
      <c r="C522" s="24"/>
      <c r="D522" s="24"/>
      <c r="E522" s="24"/>
      <c r="F522" s="24" t="str">
        <f t="array" ref="F522">IFERROR(INDEX(COA!$C$5:$C$59,MATCH(JURNAL!E522,COA!$B$5:$B$59,0)),"")</f>
        <v/>
      </c>
      <c r="G522" s="204"/>
      <c r="H522" s="204"/>
    </row>
    <row r="523" spans="2:8" ht="15.75" customHeight="1" x14ac:dyDescent="0.2">
      <c r="B523" s="30"/>
      <c r="C523" s="24"/>
      <c r="D523" s="24"/>
      <c r="E523" s="24"/>
      <c r="F523" s="24" t="str">
        <f t="array" ref="F523">IFERROR(INDEX(COA!$C$5:$C$59,MATCH(JURNAL!E523,COA!$B$5:$B$59,0)),"")</f>
        <v/>
      </c>
      <c r="G523" s="204"/>
      <c r="H523" s="204"/>
    </row>
    <row r="524" spans="2:8" ht="15.75" customHeight="1" x14ac:dyDescent="0.2">
      <c r="B524" s="30"/>
      <c r="C524" s="24"/>
      <c r="D524" s="24"/>
      <c r="E524" s="24"/>
      <c r="F524" s="24" t="str">
        <f t="array" ref="F524">IFERROR(INDEX(COA!$C$5:$C$59,MATCH(JURNAL!E524,COA!$B$5:$B$59,0)),"")</f>
        <v/>
      </c>
      <c r="G524" s="204"/>
      <c r="H524" s="204"/>
    </row>
    <row r="525" spans="2:8" ht="15.75" customHeight="1" x14ac:dyDescent="0.2">
      <c r="B525" s="30"/>
      <c r="C525" s="24"/>
      <c r="D525" s="24"/>
      <c r="E525" s="24"/>
      <c r="F525" s="24" t="str">
        <f t="array" ref="F525">IFERROR(INDEX(COA!$C$5:$C$59,MATCH(JURNAL!E525,COA!$B$5:$B$59,0)),"")</f>
        <v/>
      </c>
      <c r="G525" s="204"/>
      <c r="H525" s="204"/>
    </row>
    <row r="526" spans="2:8" ht="15.75" customHeight="1" x14ac:dyDescent="0.2">
      <c r="B526" s="30"/>
      <c r="C526" s="24"/>
      <c r="D526" s="24"/>
      <c r="E526" s="24"/>
      <c r="F526" s="24" t="str">
        <f t="array" ref="F526">IFERROR(INDEX(COA!$C$5:$C$59,MATCH(JURNAL!E526,COA!$B$5:$B$59,0)),"")</f>
        <v/>
      </c>
      <c r="G526" s="204"/>
      <c r="H526" s="204"/>
    </row>
    <row r="527" spans="2:8" ht="15.75" customHeight="1" x14ac:dyDescent="0.2">
      <c r="B527" s="30"/>
      <c r="C527" s="24"/>
      <c r="D527" s="24"/>
      <c r="E527" s="24"/>
      <c r="F527" s="24" t="str">
        <f t="array" ref="F527">IFERROR(INDEX(COA!$C$5:$C$59,MATCH(JURNAL!E527,COA!$B$5:$B$59,0)),"")</f>
        <v/>
      </c>
      <c r="G527" s="204"/>
      <c r="H527" s="204"/>
    </row>
    <row r="528" spans="2:8" ht="15.75" customHeight="1" x14ac:dyDescent="0.2">
      <c r="B528" s="30"/>
      <c r="C528" s="24"/>
      <c r="D528" s="24"/>
      <c r="E528" s="24"/>
      <c r="F528" s="24" t="str">
        <f t="array" ref="F528">IFERROR(INDEX(COA!$C$5:$C$59,MATCH(JURNAL!E528,COA!$B$5:$B$59,0)),"")</f>
        <v/>
      </c>
      <c r="G528" s="204"/>
      <c r="H528" s="204"/>
    </row>
    <row r="529" spans="2:8" ht="15.75" customHeight="1" x14ac:dyDescent="0.2">
      <c r="B529" s="30"/>
      <c r="C529" s="24"/>
      <c r="D529" s="24"/>
      <c r="E529" s="24"/>
      <c r="F529" s="24" t="str">
        <f t="array" ref="F529">IFERROR(INDEX(COA!$C$5:$C$59,MATCH(JURNAL!E529,COA!$B$5:$B$59,0)),"")</f>
        <v/>
      </c>
      <c r="G529" s="204"/>
      <c r="H529" s="204"/>
    </row>
    <row r="530" spans="2:8" ht="15.75" customHeight="1" x14ac:dyDescent="0.2">
      <c r="B530" s="30"/>
      <c r="C530" s="24"/>
      <c r="D530" s="24"/>
      <c r="E530" s="24"/>
      <c r="F530" s="24" t="str">
        <f t="array" ref="F530">IFERROR(INDEX(COA!$C$5:$C$59,MATCH(JURNAL!E530,COA!$B$5:$B$59,0)),"")</f>
        <v/>
      </c>
      <c r="G530" s="204"/>
      <c r="H530" s="204"/>
    </row>
    <row r="531" spans="2:8" ht="15.75" customHeight="1" x14ac:dyDescent="0.2">
      <c r="B531" s="30"/>
      <c r="C531" s="24"/>
      <c r="D531" s="24"/>
      <c r="E531" s="24"/>
      <c r="F531" s="24" t="str">
        <f t="array" ref="F531">IFERROR(INDEX(COA!$C$5:$C$59,MATCH(JURNAL!E531,COA!$B$5:$B$59,0)),"")</f>
        <v/>
      </c>
      <c r="G531" s="204"/>
      <c r="H531" s="204"/>
    </row>
    <row r="532" spans="2:8" ht="15.75" customHeight="1" x14ac:dyDescent="0.2">
      <c r="B532" s="30"/>
      <c r="C532" s="24"/>
      <c r="D532" s="24"/>
      <c r="E532" s="24"/>
      <c r="F532" s="24" t="str">
        <f t="array" ref="F532">IFERROR(INDEX(COA!$C$5:$C$59,MATCH(JURNAL!E532,COA!$B$5:$B$59,0)),"")</f>
        <v/>
      </c>
      <c r="G532" s="204"/>
      <c r="H532" s="204"/>
    </row>
    <row r="533" spans="2:8" ht="15.75" customHeight="1" x14ac:dyDescent="0.2">
      <c r="B533" s="30"/>
      <c r="C533" s="24"/>
      <c r="D533" s="24"/>
      <c r="E533" s="24"/>
      <c r="F533" s="24" t="str">
        <f t="array" ref="F533">IFERROR(INDEX(COA!$C$5:$C$59,MATCH(JURNAL!E533,COA!$B$5:$B$59,0)),"")</f>
        <v/>
      </c>
      <c r="G533" s="204"/>
      <c r="H533" s="204"/>
    </row>
    <row r="534" spans="2:8" ht="15.75" customHeight="1" x14ac:dyDescent="0.2">
      <c r="B534" s="30"/>
      <c r="C534" s="24"/>
      <c r="D534" s="24"/>
      <c r="E534" s="24"/>
      <c r="F534" s="24" t="str">
        <f t="array" ref="F534">IFERROR(INDEX(COA!$C$5:$C$59,MATCH(JURNAL!E534,COA!$B$5:$B$59,0)),"")</f>
        <v/>
      </c>
      <c r="G534" s="204"/>
      <c r="H534" s="204"/>
    </row>
    <row r="535" spans="2:8" ht="15.75" customHeight="1" x14ac:dyDescent="0.2">
      <c r="B535" s="30"/>
      <c r="C535" s="24"/>
      <c r="D535" s="24"/>
      <c r="E535" s="24"/>
      <c r="F535" s="24" t="str">
        <f t="array" ref="F535">IFERROR(INDEX(COA!$C$5:$C$59,MATCH(JURNAL!E535,COA!$B$5:$B$59,0)),"")</f>
        <v/>
      </c>
      <c r="G535" s="204"/>
      <c r="H535" s="204"/>
    </row>
    <row r="536" spans="2:8" ht="15.75" customHeight="1" x14ac:dyDescent="0.2">
      <c r="B536" s="30"/>
      <c r="C536" s="24"/>
      <c r="D536" s="24"/>
      <c r="E536" s="24"/>
      <c r="F536" s="24" t="str">
        <f t="array" ref="F536">IFERROR(INDEX(COA!$C$5:$C$59,MATCH(JURNAL!E536,COA!$B$5:$B$59,0)),"")</f>
        <v/>
      </c>
      <c r="G536" s="204"/>
      <c r="H536" s="204"/>
    </row>
    <row r="537" spans="2:8" ht="15.75" customHeight="1" x14ac:dyDescent="0.2">
      <c r="B537" s="30"/>
      <c r="C537" s="24"/>
      <c r="D537" s="24"/>
      <c r="E537" s="24"/>
      <c r="F537" s="24" t="str">
        <f t="array" ref="F537">IFERROR(INDEX(COA!$C$5:$C$59,MATCH(JURNAL!E537,COA!$B$5:$B$59,0)),"")</f>
        <v/>
      </c>
      <c r="G537" s="204"/>
      <c r="H537" s="204"/>
    </row>
    <row r="538" spans="2:8" ht="15.75" customHeight="1" x14ac:dyDescent="0.2">
      <c r="B538" s="30"/>
      <c r="C538" s="24"/>
      <c r="D538" s="24"/>
      <c r="E538" s="24"/>
      <c r="F538" s="24" t="str">
        <f t="array" ref="F538">IFERROR(INDEX(COA!$C$5:$C$59,MATCH(JURNAL!E538,COA!$B$5:$B$59,0)),"")</f>
        <v/>
      </c>
      <c r="G538" s="204"/>
      <c r="H538" s="204"/>
    </row>
    <row r="539" spans="2:8" ht="15.75" customHeight="1" x14ac:dyDescent="0.2">
      <c r="B539" s="30"/>
      <c r="C539" s="24"/>
      <c r="D539" s="24"/>
      <c r="E539" s="24"/>
      <c r="F539" s="24" t="str">
        <f t="array" ref="F539">IFERROR(INDEX(COA!$C$5:$C$59,MATCH(JURNAL!E539,COA!$B$5:$B$59,0)),"")</f>
        <v/>
      </c>
      <c r="G539" s="204"/>
      <c r="H539" s="204"/>
    </row>
    <row r="540" spans="2:8" ht="15.75" customHeight="1" x14ac:dyDescent="0.2">
      <c r="B540" s="30"/>
      <c r="C540" s="24"/>
      <c r="D540" s="24"/>
      <c r="E540" s="24"/>
      <c r="F540" s="24" t="str">
        <f t="array" ref="F540">IFERROR(INDEX(COA!$C$5:$C$59,MATCH(JURNAL!E540,COA!$B$5:$B$59,0)),"")</f>
        <v/>
      </c>
      <c r="G540" s="204"/>
      <c r="H540" s="204"/>
    </row>
    <row r="541" spans="2:8" ht="15.75" customHeight="1" x14ac:dyDescent="0.2">
      <c r="B541" s="30"/>
      <c r="C541" s="24"/>
      <c r="D541" s="24"/>
      <c r="E541" s="24"/>
      <c r="F541" s="24" t="str">
        <f t="array" ref="F541">IFERROR(INDEX(COA!$C$5:$C$59,MATCH(JURNAL!E541,COA!$B$5:$B$59,0)),"")</f>
        <v/>
      </c>
      <c r="G541" s="204"/>
      <c r="H541" s="204"/>
    </row>
    <row r="542" spans="2:8" ht="15.75" customHeight="1" x14ac:dyDescent="0.2">
      <c r="B542" s="30"/>
      <c r="C542" s="24"/>
      <c r="D542" s="24"/>
      <c r="E542" s="24"/>
      <c r="F542" s="24" t="str">
        <f t="array" ref="F542">IFERROR(INDEX(COA!$C$5:$C$59,MATCH(JURNAL!E542,COA!$B$5:$B$59,0)),"")</f>
        <v/>
      </c>
      <c r="G542" s="204"/>
      <c r="H542" s="204"/>
    </row>
    <row r="543" spans="2:8" ht="15.75" customHeight="1" x14ac:dyDescent="0.2">
      <c r="B543" s="30"/>
      <c r="C543" s="24"/>
      <c r="D543" s="24"/>
      <c r="E543" s="24"/>
      <c r="F543" s="24" t="str">
        <f t="array" ref="F543">IFERROR(INDEX(COA!$C$5:$C$59,MATCH(JURNAL!E543,COA!$B$5:$B$59,0)),"")</f>
        <v/>
      </c>
      <c r="G543" s="204"/>
      <c r="H543" s="204"/>
    </row>
    <row r="544" spans="2:8" ht="15.75" customHeight="1" x14ac:dyDescent="0.2">
      <c r="B544" s="30"/>
      <c r="C544" s="24"/>
      <c r="D544" s="24"/>
      <c r="E544" s="24"/>
      <c r="F544" s="24" t="str">
        <f t="array" ref="F544">IFERROR(INDEX(COA!$C$5:$C$59,MATCH(JURNAL!E544,COA!$B$5:$B$59,0)),"")</f>
        <v/>
      </c>
      <c r="G544" s="204"/>
      <c r="H544" s="204"/>
    </row>
    <row r="545" spans="2:8" ht="15.75" customHeight="1" x14ac:dyDescent="0.2">
      <c r="B545" s="30"/>
      <c r="C545" s="24"/>
      <c r="D545" s="24"/>
      <c r="E545" s="24"/>
      <c r="F545" s="24" t="str">
        <f t="array" ref="F545">IFERROR(INDEX(COA!$C$5:$C$59,MATCH(JURNAL!E545,COA!$B$5:$B$59,0)),"")</f>
        <v/>
      </c>
      <c r="G545" s="204"/>
      <c r="H545" s="204"/>
    </row>
    <row r="546" spans="2:8" ht="15.75" customHeight="1" x14ac:dyDescent="0.2">
      <c r="B546" s="30"/>
      <c r="C546" s="24"/>
      <c r="D546" s="24"/>
      <c r="E546" s="24"/>
      <c r="F546" s="24" t="str">
        <f t="array" ref="F546">IFERROR(INDEX(COA!$C$5:$C$59,MATCH(JURNAL!E546,COA!$B$5:$B$59,0)),"")</f>
        <v/>
      </c>
      <c r="G546" s="204"/>
      <c r="H546" s="204"/>
    </row>
    <row r="547" spans="2:8" ht="15.75" customHeight="1" x14ac:dyDescent="0.2">
      <c r="B547" s="30"/>
      <c r="C547" s="24"/>
      <c r="D547" s="24"/>
      <c r="E547" s="24"/>
      <c r="F547" s="24" t="str">
        <f t="array" ref="F547">IFERROR(INDEX(COA!$C$5:$C$59,MATCH(JURNAL!E547,COA!$B$5:$B$59,0)),"")</f>
        <v/>
      </c>
      <c r="G547" s="204"/>
      <c r="H547" s="204"/>
    </row>
    <row r="548" spans="2:8" ht="15.75" customHeight="1" x14ac:dyDescent="0.2">
      <c r="B548" s="30"/>
      <c r="C548" s="24"/>
      <c r="D548" s="24"/>
      <c r="E548" s="24"/>
      <c r="F548" s="24" t="str">
        <f t="array" ref="F548">IFERROR(INDEX(COA!$C$5:$C$59,MATCH(JURNAL!E548,COA!$B$5:$B$59,0)),"")</f>
        <v/>
      </c>
      <c r="G548" s="204"/>
      <c r="H548" s="204"/>
    </row>
    <row r="549" spans="2:8" ht="15.75" customHeight="1" x14ac:dyDescent="0.2">
      <c r="B549" s="30"/>
      <c r="C549" s="24"/>
      <c r="D549" s="24"/>
      <c r="E549" s="24"/>
      <c r="F549" s="24" t="str">
        <f t="array" ref="F549">IFERROR(INDEX(COA!$C$5:$C$59,MATCH(JURNAL!E549,COA!$B$5:$B$59,0)),"")</f>
        <v/>
      </c>
      <c r="G549" s="204"/>
      <c r="H549" s="204"/>
    </row>
    <row r="550" spans="2:8" ht="15.75" customHeight="1" x14ac:dyDescent="0.2">
      <c r="B550" s="30"/>
      <c r="C550" s="24"/>
      <c r="D550" s="24"/>
      <c r="E550" s="24"/>
      <c r="F550" s="24" t="str">
        <f t="array" ref="F550">IFERROR(INDEX(COA!$C$5:$C$59,MATCH(JURNAL!E550,COA!$B$5:$B$59,0)),"")</f>
        <v/>
      </c>
      <c r="G550" s="204"/>
      <c r="H550" s="204"/>
    </row>
    <row r="551" spans="2:8" ht="15.75" customHeight="1" x14ac:dyDescent="0.2">
      <c r="B551" s="30"/>
      <c r="C551" s="24"/>
      <c r="D551" s="24"/>
      <c r="E551" s="24"/>
      <c r="F551" s="24" t="str">
        <f t="array" ref="F551">IFERROR(INDEX(COA!$C$5:$C$59,MATCH(JURNAL!E551,COA!$B$5:$B$59,0)),"")</f>
        <v/>
      </c>
      <c r="G551" s="204"/>
      <c r="H551" s="204"/>
    </row>
    <row r="552" spans="2:8" ht="15.75" customHeight="1" x14ac:dyDescent="0.2">
      <c r="B552" s="30"/>
      <c r="C552" s="24"/>
      <c r="D552" s="24"/>
      <c r="E552" s="24"/>
      <c r="F552" s="24" t="str">
        <f t="array" ref="F552">IFERROR(INDEX(COA!$C$5:$C$59,MATCH(JURNAL!E552,COA!$B$5:$B$59,0)),"")</f>
        <v/>
      </c>
      <c r="G552" s="204"/>
      <c r="H552" s="204"/>
    </row>
    <row r="553" spans="2:8" ht="15.75" customHeight="1" x14ac:dyDescent="0.2">
      <c r="B553" s="30"/>
      <c r="C553" s="24"/>
      <c r="D553" s="24"/>
      <c r="E553" s="24"/>
      <c r="F553" s="24" t="str">
        <f t="array" ref="F553">IFERROR(INDEX(COA!$C$5:$C$59,MATCH(JURNAL!E553,COA!$B$5:$B$59,0)),"")</f>
        <v/>
      </c>
      <c r="G553" s="204"/>
      <c r="H553" s="204"/>
    </row>
    <row r="554" spans="2:8" ht="15.75" customHeight="1" x14ac:dyDescent="0.2">
      <c r="B554" s="30"/>
      <c r="C554" s="24"/>
      <c r="D554" s="24"/>
      <c r="E554" s="24"/>
      <c r="F554" s="24" t="str">
        <f t="array" ref="F554">IFERROR(INDEX(COA!$C$5:$C$59,MATCH(JURNAL!E554,COA!$B$5:$B$59,0)),"")</f>
        <v/>
      </c>
      <c r="G554" s="204"/>
      <c r="H554" s="204"/>
    </row>
    <row r="555" spans="2:8" ht="15.75" customHeight="1" x14ac:dyDescent="0.2">
      <c r="B555" s="30"/>
      <c r="C555" s="24"/>
      <c r="D555" s="24"/>
      <c r="E555" s="24"/>
      <c r="F555" s="24" t="str">
        <f t="array" ref="F555">IFERROR(INDEX(COA!$C$5:$C$59,MATCH(JURNAL!E555,COA!$B$5:$B$59,0)),"")</f>
        <v/>
      </c>
      <c r="G555" s="204"/>
      <c r="H555" s="204"/>
    </row>
    <row r="556" spans="2:8" ht="15.75" customHeight="1" x14ac:dyDescent="0.2">
      <c r="B556" s="30"/>
      <c r="C556" s="24"/>
      <c r="D556" s="24"/>
      <c r="E556" s="24"/>
      <c r="F556" s="24" t="str">
        <f t="array" ref="F556">IFERROR(INDEX(COA!$C$5:$C$59,MATCH(JURNAL!E556,COA!$B$5:$B$59,0)),"")</f>
        <v/>
      </c>
      <c r="G556" s="204"/>
      <c r="H556" s="204"/>
    </row>
    <row r="557" spans="2:8" ht="15.75" customHeight="1" x14ac:dyDescent="0.2">
      <c r="B557" s="30"/>
      <c r="C557" s="24"/>
      <c r="D557" s="24"/>
      <c r="E557" s="24"/>
      <c r="F557" s="24" t="str">
        <f t="array" ref="F557">IFERROR(INDEX(COA!$C$5:$C$59,MATCH(JURNAL!E557,COA!$B$5:$B$59,0)),"")</f>
        <v/>
      </c>
      <c r="G557" s="204"/>
      <c r="H557" s="204"/>
    </row>
    <row r="558" spans="2:8" ht="15.75" customHeight="1" x14ac:dyDescent="0.2">
      <c r="B558" s="30"/>
      <c r="C558" s="24"/>
      <c r="D558" s="24"/>
      <c r="E558" s="24"/>
      <c r="F558" s="24" t="str">
        <f t="array" ref="F558">IFERROR(INDEX(COA!$C$5:$C$59,MATCH(JURNAL!E558,COA!$B$5:$B$59,0)),"")</f>
        <v/>
      </c>
      <c r="G558" s="204"/>
      <c r="H558" s="204"/>
    </row>
    <row r="559" spans="2:8" ht="15.75" customHeight="1" x14ac:dyDescent="0.2">
      <c r="B559" s="30"/>
      <c r="C559" s="24"/>
      <c r="D559" s="24"/>
      <c r="E559" s="24"/>
      <c r="F559" s="24" t="str">
        <f t="array" ref="F559">IFERROR(INDEX(COA!$C$5:$C$59,MATCH(JURNAL!E559,COA!$B$5:$B$59,0)),"")</f>
        <v/>
      </c>
      <c r="G559" s="204"/>
      <c r="H559" s="204"/>
    </row>
    <row r="560" spans="2:8" ht="15.75" customHeight="1" x14ac:dyDescent="0.2">
      <c r="B560" s="30"/>
      <c r="C560" s="24"/>
      <c r="D560" s="24"/>
      <c r="E560" s="24"/>
      <c r="F560" s="24" t="str">
        <f t="array" ref="F560">IFERROR(INDEX(COA!$C$5:$C$59,MATCH(JURNAL!E560,COA!$B$5:$B$59,0)),"")</f>
        <v/>
      </c>
      <c r="G560" s="204"/>
      <c r="H560" s="204"/>
    </row>
    <row r="561" spans="2:8" ht="15.75" customHeight="1" x14ac:dyDescent="0.2">
      <c r="B561" s="30"/>
      <c r="C561" s="24"/>
      <c r="D561" s="24"/>
      <c r="E561" s="24"/>
      <c r="F561" s="24" t="str">
        <f t="array" ref="F561">IFERROR(INDEX(COA!$C$5:$C$59,MATCH(JURNAL!E561,COA!$B$5:$B$59,0)),"")</f>
        <v/>
      </c>
      <c r="G561" s="204"/>
      <c r="H561" s="204"/>
    </row>
    <row r="562" spans="2:8" ht="15.75" customHeight="1" x14ac:dyDescent="0.2">
      <c r="B562" s="30"/>
      <c r="C562" s="24"/>
      <c r="D562" s="24"/>
      <c r="E562" s="24"/>
      <c r="F562" s="24" t="str">
        <f t="array" ref="F562">IFERROR(INDEX(COA!$C$5:$C$59,MATCH(JURNAL!E562,COA!$B$5:$B$59,0)),"")</f>
        <v/>
      </c>
      <c r="G562" s="204"/>
      <c r="H562" s="204"/>
    </row>
    <row r="563" spans="2:8" ht="15.75" customHeight="1" x14ac:dyDescent="0.2">
      <c r="B563" s="30"/>
      <c r="C563" s="24"/>
      <c r="D563" s="24"/>
      <c r="E563" s="24"/>
      <c r="F563" s="24" t="str">
        <f t="array" ref="F563">IFERROR(INDEX(COA!$C$5:$C$59,MATCH(JURNAL!E563,COA!$B$5:$B$59,0)),"")</f>
        <v/>
      </c>
      <c r="G563" s="204"/>
      <c r="H563" s="204"/>
    </row>
    <row r="564" spans="2:8" ht="15.75" customHeight="1" x14ac:dyDescent="0.2">
      <c r="B564" s="30"/>
      <c r="C564" s="24"/>
      <c r="D564" s="24"/>
      <c r="E564" s="24"/>
      <c r="F564" s="24" t="str">
        <f t="array" ref="F564">IFERROR(INDEX(COA!$C$5:$C$59,MATCH(JURNAL!E564,COA!$B$5:$B$59,0)),"")</f>
        <v/>
      </c>
      <c r="G564" s="204"/>
      <c r="H564" s="204"/>
    </row>
    <row r="565" spans="2:8" ht="15.75" customHeight="1" x14ac:dyDescent="0.2">
      <c r="B565" s="30"/>
      <c r="C565" s="24"/>
      <c r="D565" s="24"/>
      <c r="E565" s="24"/>
      <c r="F565" s="24" t="str">
        <f t="array" ref="F565">IFERROR(INDEX(COA!$C$5:$C$59,MATCH(JURNAL!E565,COA!$B$5:$B$59,0)),"")</f>
        <v/>
      </c>
      <c r="G565" s="204"/>
      <c r="H565" s="204"/>
    </row>
    <row r="566" spans="2:8" ht="15.75" customHeight="1" x14ac:dyDescent="0.2">
      <c r="B566" s="30"/>
      <c r="C566" s="24"/>
      <c r="D566" s="24"/>
      <c r="E566" s="24"/>
      <c r="F566" s="24" t="str">
        <f t="array" ref="F566">IFERROR(INDEX(COA!$C$5:$C$59,MATCH(JURNAL!E566,COA!$B$5:$B$59,0)),"")</f>
        <v/>
      </c>
      <c r="G566" s="204"/>
      <c r="H566" s="204"/>
    </row>
    <row r="567" spans="2:8" ht="15.75" customHeight="1" x14ac:dyDescent="0.2">
      <c r="B567" s="30"/>
      <c r="C567" s="24"/>
      <c r="D567" s="24"/>
      <c r="E567" s="24"/>
      <c r="F567" s="24" t="str">
        <f t="array" ref="F567">IFERROR(INDEX(COA!$C$5:$C$59,MATCH(JURNAL!E567,COA!$B$5:$B$59,0)),"")</f>
        <v/>
      </c>
      <c r="G567" s="204"/>
      <c r="H567" s="204"/>
    </row>
    <row r="568" spans="2:8" ht="15.75" customHeight="1" x14ac:dyDescent="0.2">
      <c r="B568" s="30"/>
      <c r="C568" s="24"/>
      <c r="D568" s="24"/>
      <c r="E568" s="24"/>
      <c r="F568" s="24" t="str">
        <f t="array" ref="F568">IFERROR(INDEX(COA!$C$5:$C$59,MATCH(JURNAL!E568,COA!$B$5:$B$59,0)),"")</f>
        <v/>
      </c>
      <c r="G568" s="204"/>
      <c r="H568" s="204"/>
    </row>
    <row r="569" spans="2:8" ht="15.75" customHeight="1" x14ac:dyDescent="0.2">
      <c r="B569" s="30"/>
      <c r="C569" s="24"/>
      <c r="D569" s="24"/>
      <c r="E569" s="24"/>
      <c r="F569" s="24" t="str">
        <f t="array" ref="F569">IFERROR(INDEX(COA!$C$5:$C$59,MATCH(JURNAL!E569,COA!$B$5:$B$59,0)),"")</f>
        <v/>
      </c>
      <c r="G569" s="204"/>
      <c r="H569" s="204"/>
    </row>
    <row r="570" spans="2:8" ht="15.75" customHeight="1" x14ac:dyDescent="0.2">
      <c r="B570" s="30"/>
      <c r="C570" s="24"/>
      <c r="D570" s="24"/>
      <c r="E570" s="24"/>
      <c r="F570" s="24" t="str">
        <f t="array" ref="F570">IFERROR(INDEX(COA!$C$5:$C$59,MATCH(JURNAL!E570,COA!$B$5:$B$59,0)),"")</f>
        <v/>
      </c>
      <c r="G570" s="204"/>
      <c r="H570" s="204"/>
    </row>
    <row r="571" spans="2:8" ht="15.75" customHeight="1" x14ac:dyDescent="0.2">
      <c r="B571" s="30"/>
      <c r="C571" s="24"/>
      <c r="D571" s="24"/>
      <c r="E571" s="24"/>
      <c r="F571" s="24" t="str">
        <f t="array" ref="F571">IFERROR(INDEX(COA!$C$5:$C$59,MATCH(JURNAL!E571,COA!$B$5:$B$59,0)),"")</f>
        <v/>
      </c>
      <c r="G571" s="204"/>
      <c r="H571" s="204"/>
    </row>
    <row r="572" spans="2:8" ht="15.75" customHeight="1" x14ac:dyDescent="0.2">
      <c r="B572" s="30"/>
      <c r="C572" s="24"/>
      <c r="D572" s="24"/>
      <c r="E572" s="24"/>
      <c r="F572" s="24" t="str">
        <f t="array" ref="F572">IFERROR(INDEX(COA!$C$5:$C$59,MATCH(JURNAL!E572,COA!$B$5:$B$59,0)),"")</f>
        <v/>
      </c>
      <c r="G572" s="204"/>
      <c r="H572" s="204"/>
    </row>
    <row r="573" spans="2:8" ht="15.75" customHeight="1" x14ac:dyDescent="0.2">
      <c r="B573" s="30"/>
      <c r="C573" s="24"/>
      <c r="D573" s="24"/>
      <c r="E573" s="24"/>
      <c r="F573" s="24" t="str">
        <f t="array" ref="F573">IFERROR(INDEX(COA!$C$5:$C$59,MATCH(JURNAL!E573,COA!$B$5:$B$59,0)),"")</f>
        <v/>
      </c>
      <c r="G573" s="204"/>
      <c r="H573" s="204"/>
    </row>
    <row r="574" spans="2:8" ht="15.75" customHeight="1" x14ac:dyDescent="0.2">
      <c r="B574" s="30"/>
      <c r="C574" s="24"/>
      <c r="D574" s="24"/>
      <c r="E574" s="24"/>
      <c r="F574" s="24" t="str">
        <f t="array" ref="F574">IFERROR(INDEX(COA!$C$5:$C$59,MATCH(JURNAL!E574,COA!$B$5:$B$59,0)),"")</f>
        <v/>
      </c>
      <c r="G574" s="204"/>
      <c r="H574" s="204"/>
    </row>
    <row r="575" spans="2:8" ht="15.75" customHeight="1" x14ac:dyDescent="0.2">
      <c r="B575" s="30"/>
      <c r="C575" s="24"/>
      <c r="D575" s="24"/>
      <c r="E575" s="24"/>
      <c r="F575" s="24" t="str">
        <f t="array" ref="F575">IFERROR(INDEX(COA!$C$5:$C$59,MATCH(JURNAL!E575,COA!$B$5:$B$59,0)),"")</f>
        <v/>
      </c>
      <c r="G575" s="204"/>
      <c r="H575" s="204"/>
    </row>
    <row r="576" spans="2:8" ht="15.75" customHeight="1" x14ac:dyDescent="0.2">
      <c r="B576" s="30"/>
      <c r="C576" s="24"/>
      <c r="D576" s="24"/>
      <c r="E576" s="24"/>
      <c r="F576" s="24" t="str">
        <f t="array" ref="F576">IFERROR(INDEX(COA!$C$5:$C$59,MATCH(JURNAL!E576,COA!$B$5:$B$59,0)),"")</f>
        <v/>
      </c>
      <c r="G576" s="204"/>
      <c r="H576" s="204"/>
    </row>
    <row r="577" spans="2:8" ht="15.75" customHeight="1" x14ac:dyDescent="0.2">
      <c r="B577" s="30"/>
      <c r="C577" s="24"/>
      <c r="D577" s="24"/>
      <c r="E577" s="24"/>
      <c r="F577" s="24" t="str">
        <f t="array" ref="F577">IFERROR(INDEX(COA!$C$5:$C$59,MATCH(JURNAL!E577,COA!$B$5:$B$59,0)),"")</f>
        <v/>
      </c>
      <c r="G577" s="204"/>
      <c r="H577" s="204"/>
    </row>
    <row r="578" spans="2:8" ht="15.75" customHeight="1" x14ac:dyDescent="0.2">
      <c r="B578" s="30"/>
      <c r="C578" s="24"/>
      <c r="D578" s="24"/>
      <c r="E578" s="24"/>
      <c r="F578" s="24" t="str">
        <f t="array" ref="F578">IFERROR(INDEX(COA!$C$5:$C$59,MATCH(JURNAL!E578,COA!$B$5:$B$59,0)),"")</f>
        <v/>
      </c>
      <c r="G578" s="204"/>
      <c r="H578" s="204"/>
    </row>
    <row r="579" spans="2:8" ht="15.75" customHeight="1" x14ac:dyDescent="0.2">
      <c r="B579" s="30"/>
      <c r="C579" s="24"/>
      <c r="D579" s="24"/>
      <c r="E579" s="24"/>
      <c r="F579" s="24" t="str">
        <f t="array" ref="F579">IFERROR(INDEX(COA!$C$5:$C$59,MATCH(JURNAL!E579,COA!$B$5:$B$59,0)),"")</f>
        <v/>
      </c>
      <c r="G579" s="204"/>
      <c r="H579" s="204"/>
    </row>
    <row r="580" spans="2:8" ht="15.75" customHeight="1" x14ac:dyDescent="0.2">
      <c r="B580" s="30"/>
      <c r="C580" s="24"/>
      <c r="D580" s="24"/>
      <c r="E580" s="24"/>
      <c r="F580" s="24" t="str">
        <f t="array" ref="F580">IFERROR(INDEX(COA!$C$5:$C$59,MATCH(JURNAL!E580,COA!$B$5:$B$59,0)),"")</f>
        <v/>
      </c>
      <c r="G580" s="204"/>
      <c r="H580" s="204"/>
    </row>
    <row r="581" spans="2:8" ht="15.75" customHeight="1" x14ac:dyDescent="0.2">
      <c r="B581" s="30"/>
      <c r="C581" s="24"/>
      <c r="D581" s="24"/>
      <c r="E581" s="24"/>
      <c r="F581" s="24" t="str">
        <f t="array" ref="F581">IFERROR(INDEX(COA!$C$5:$C$59,MATCH(JURNAL!E581,COA!$B$5:$B$59,0)),"")</f>
        <v/>
      </c>
      <c r="G581" s="204"/>
      <c r="H581" s="204"/>
    </row>
    <row r="582" spans="2:8" ht="15.75" customHeight="1" x14ac:dyDescent="0.2">
      <c r="B582" s="30"/>
      <c r="C582" s="24"/>
      <c r="D582" s="24"/>
      <c r="E582" s="24"/>
      <c r="F582" s="24" t="str">
        <f t="array" ref="F582">IFERROR(INDEX(COA!$C$5:$C$59,MATCH(JURNAL!E582,COA!$B$5:$B$59,0)),"")</f>
        <v/>
      </c>
      <c r="G582" s="204"/>
      <c r="H582" s="204"/>
    </row>
    <row r="583" spans="2:8" ht="15.75" customHeight="1" x14ac:dyDescent="0.2">
      <c r="B583" s="30"/>
      <c r="C583" s="24"/>
      <c r="D583" s="24"/>
      <c r="E583" s="24"/>
      <c r="F583" s="24" t="str">
        <f t="array" ref="F583">IFERROR(INDEX(COA!$C$5:$C$59,MATCH(JURNAL!E583,COA!$B$5:$B$59,0)),"")</f>
        <v/>
      </c>
      <c r="G583" s="204"/>
      <c r="H583" s="204"/>
    </row>
    <row r="584" spans="2:8" ht="15.75" customHeight="1" x14ac:dyDescent="0.2">
      <c r="B584" s="30"/>
      <c r="C584" s="24"/>
      <c r="D584" s="24"/>
      <c r="E584" s="24"/>
      <c r="F584" s="24" t="str">
        <f t="array" ref="F584">IFERROR(INDEX(COA!$C$5:$C$59,MATCH(JURNAL!E584,COA!$B$5:$B$59,0)),"")</f>
        <v/>
      </c>
      <c r="G584" s="204"/>
      <c r="H584" s="204"/>
    </row>
    <row r="585" spans="2:8" ht="15.75" customHeight="1" x14ac:dyDescent="0.2">
      <c r="B585" s="30"/>
      <c r="C585" s="24"/>
      <c r="D585" s="24"/>
      <c r="E585" s="24"/>
      <c r="F585" s="24" t="str">
        <f t="array" ref="F585">IFERROR(INDEX(COA!$C$5:$C$59,MATCH(JURNAL!E585,COA!$B$5:$B$59,0)),"")</f>
        <v/>
      </c>
      <c r="G585" s="204"/>
      <c r="H585" s="204"/>
    </row>
    <row r="586" spans="2:8" ht="15.75" customHeight="1" x14ac:dyDescent="0.2">
      <c r="B586" s="30"/>
      <c r="C586" s="24"/>
      <c r="D586" s="24"/>
      <c r="E586" s="24"/>
      <c r="F586" s="24" t="str">
        <f t="array" ref="F586">IFERROR(INDEX(COA!$C$5:$C$59,MATCH(JURNAL!E586,COA!$B$5:$B$59,0)),"")</f>
        <v/>
      </c>
      <c r="G586" s="204"/>
      <c r="H586" s="204"/>
    </row>
    <row r="587" spans="2:8" ht="15.75" customHeight="1" x14ac:dyDescent="0.2">
      <c r="B587" s="30"/>
      <c r="C587" s="24"/>
      <c r="D587" s="24"/>
      <c r="E587" s="24"/>
      <c r="F587" s="24" t="str">
        <f t="array" ref="F587">IFERROR(INDEX(COA!$C$5:$C$59,MATCH(JURNAL!E587,COA!$B$5:$B$59,0)),"")</f>
        <v/>
      </c>
      <c r="G587" s="204"/>
      <c r="H587" s="204"/>
    </row>
    <row r="588" spans="2:8" ht="15.75" customHeight="1" x14ac:dyDescent="0.2">
      <c r="B588" s="30"/>
      <c r="C588" s="24"/>
      <c r="D588" s="24"/>
      <c r="E588" s="24"/>
      <c r="F588" s="24" t="str">
        <f t="array" ref="F588">IFERROR(INDEX(COA!$C$5:$C$59,MATCH(JURNAL!E588,COA!$B$5:$B$59,0)),"")</f>
        <v/>
      </c>
      <c r="G588" s="204"/>
      <c r="H588" s="204"/>
    </row>
    <row r="589" spans="2:8" ht="15.75" customHeight="1" x14ac:dyDescent="0.2">
      <c r="B589" s="30"/>
      <c r="C589" s="24"/>
      <c r="D589" s="24"/>
      <c r="E589" s="24"/>
      <c r="F589" s="24" t="str">
        <f t="array" ref="F589">IFERROR(INDEX(COA!$C$5:$C$59,MATCH(JURNAL!E589,COA!$B$5:$B$59,0)),"")</f>
        <v/>
      </c>
      <c r="G589" s="204"/>
      <c r="H589" s="204"/>
    </row>
    <row r="590" spans="2:8" ht="15.75" customHeight="1" x14ac:dyDescent="0.2">
      <c r="B590" s="30"/>
      <c r="C590" s="24"/>
      <c r="D590" s="24"/>
      <c r="E590" s="24"/>
      <c r="F590" s="24" t="str">
        <f t="array" ref="F590">IFERROR(INDEX(COA!$C$5:$C$59,MATCH(JURNAL!E590,COA!$B$5:$B$59,0)),"")</f>
        <v/>
      </c>
      <c r="G590" s="204"/>
      <c r="H590" s="204"/>
    </row>
    <row r="591" spans="2:8" ht="15.75" customHeight="1" x14ac:dyDescent="0.2">
      <c r="B591" s="30"/>
      <c r="C591" s="24"/>
      <c r="D591" s="24"/>
      <c r="E591" s="24"/>
      <c r="F591" s="24" t="str">
        <f t="array" ref="F591">IFERROR(INDEX(COA!$C$5:$C$59,MATCH(JURNAL!E591,COA!$B$5:$B$59,0)),"")</f>
        <v/>
      </c>
      <c r="G591" s="204"/>
      <c r="H591" s="204"/>
    </row>
    <row r="592" spans="2:8" ht="15.75" customHeight="1" x14ac:dyDescent="0.2">
      <c r="B592" s="30"/>
      <c r="C592" s="24"/>
      <c r="D592" s="24"/>
      <c r="E592" s="24"/>
      <c r="F592" s="24" t="str">
        <f t="array" ref="F592">IFERROR(INDEX(COA!$C$5:$C$59,MATCH(JURNAL!E592,COA!$B$5:$B$59,0)),"")</f>
        <v/>
      </c>
      <c r="G592" s="204"/>
      <c r="H592" s="204"/>
    </row>
    <row r="593" spans="2:8" ht="15.75" customHeight="1" x14ac:dyDescent="0.2">
      <c r="B593" s="30"/>
      <c r="C593" s="24"/>
      <c r="D593" s="24"/>
      <c r="E593" s="24"/>
      <c r="F593" s="24" t="str">
        <f t="array" ref="F593">IFERROR(INDEX(COA!$C$5:$C$59,MATCH(JURNAL!E593,COA!$B$5:$B$59,0)),"")</f>
        <v/>
      </c>
      <c r="G593" s="204"/>
      <c r="H593" s="204"/>
    </row>
    <row r="594" spans="2:8" ht="15.75" customHeight="1" x14ac:dyDescent="0.2">
      <c r="B594" s="30"/>
      <c r="C594" s="24"/>
      <c r="D594" s="24"/>
      <c r="E594" s="24"/>
      <c r="F594" s="24" t="str">
        <f t="array" ref="F594">IFERROR(INDEX(COA!$C$5:$C$59,MATCH(JURNAL!E594,COA!$B$5:$B$59,0)),"")</f>
        <v/>
      </c>
      <c r="G594" s="204"/>
      <c r="H594" s="204"/>
    </row>
    <row r="595" spans="2:8" ht="15.75" customHeight="1" x14ac:dyDescent="0.2">
      <c r="B595" s="30"/>
      <c r="C595" s="24"/>
      <c r="D595" s="24"/>
      <c r="E595" s="24"/>
      <c r="F595" s="24" t="str">
        <f t="array" ref="F595">IFERROR(INDEX(COA!$C$5:$C$59,MATCH(JURNAL!E595,COA!$B$5:$B$59,0)),"")</f>
        <v/>
      </c>
      <c r="G595" s="204"/>
      <c r="H595" s="204"/>
    </row>
    <row r="596" spans="2:8" ht="15.75" customHeight="1" x14ac:dyDescent="0.2">
      <c r="B596" s="30"/>
      <c r="C596" s="24"/>
      <c r="D596" s="24"/>
      <c r="E596" s="24"/>
      <c r="F596" s="24" t="str">
        <f t="array" ref="F596">IFERROR(INDEX(COA!$C$5:$C$59,MATCH(JURNAL!E596,COA!$B$5:$B$59,0)),"")</f>
        <v/>
      </c>
      <c r="G596" s="204"/>
      <c r="H596" s="204"/>
    </row>
    <row r="597" spans="2:8" ht="15.75" customHeight="1" x14ac:dyDescent="0.2">
      <c r="B597" s="30"/>
      <c r="C597" s="24"/>
      <c r="D597" s="24"/>
      <c r="E597" s="24"/>
      <c r="F597" s="24" t="str">
        <f t="array" ref="F597">IFERROR(INDEX(COA!$C$5:$C$59,MATCH(JURNAL!E597,COA!$B$5:$B$59,0)),"")</f>
        <v/>
      </c>
      <c r="G597" s="204"/>
      <c r="H597" s="204"/>
    </row>
    <row r="598" spans="2:8" ht="15.75" customHeight="1" x14ac:dyDescent="0.2">
      <c r="B598" s="30"/>
      <c r="C598" s="24"/>
      <c r="D598" s="24"/>
      <c r="E598" s="24"/>
      <c r="F598" s="24" t="str">
        <f t="array" ref="F598">IFERROR(INDEX(COA!$C$5:$C$59,MATCH(JURNAL!E598,COA!$B$5:$B$59,0)),"")</f>
        <v/>
      </c>
      <c r="G598" s="204"/>
      <c r="H598" s="204"/>
    </row>
    <row r="599" spans="2:8" ht="15.75" customHeight="1" x14ac:dyDescent="0.2">
      <c r="B599" s="30"/>
      <c r="C599" s="24"/>
      <c r="D599" s="24"/>
      <c r="E599" s="24"/>
      <c r="F599" s="24" t="str">
        <f t="array" ref="F599">IFERROR(INDEX(COA!$C$5:$C$59,MATCH(JURNAL!E599,COA!$B$5:$B$59,0)),"")</f>
        <v/>
      </c>
      <c r="G599" s="204"/>
      <c r="H599" s="204"/>
    </row>
    <row r="600" spans="2:8" ht="15.75" customHeight="1" x14ac:dyDescent="0.2">
      <c r="B600" s="30"/>
      <c r="C600" s="24"/>
      <c r="D600" s="24"/>
      <c r="E600" s="24"/>
      <c r="F600" s="24" t="str">
        <f t="array" ref="F600">IFERROR(INDEX(COA!$C$5:$C$59,MATCH(JURNAL!E600,COA!$B$5:$B$59,0)),"")</f>
        <v/>
      </c>
      <c r="G600" s="204"/>
      <c r="H600" s="204"/>
    </row>
    <row r="601" spans="2:8" ht="15.75" customHeight="1" x14ac:dyDescent="0.2">
      <c r="B601" s="30"/>
      <c r="C601" s="24"/>
      <c r="D601" s="24"/>
      <c r="E601" s="24"/>
      <c r="F601" s="24" t="str">
        <f t="array" ref="F601">IFERROR(INDEX(COA!$C$5:$C$59,MATCH(JURNAL!E601,COA!$B$5:$B$59,0)),"")</f>
        <v/>
      </c>
      <c r="G601" s="204"/>
      <c r="H601" s="204"/>
    </row>
    <row r="602" spans="2:8" ht="15.75" customHeight="1" x14ac:dyDescent="0.2">
      <c r="B602" s="30"/>
      <c r="C602" s="24"/>
      <c r="D602" s="24"/>
      <c r="E602" s="24"/>
      <c r="F602" s="24" t="str">
        <f t="array" ref="F602">IFERROR(INDEX(COA!$C$5:$C$59,MATCH(JURNAL!E602,COA!$B$5:$B$59,0)),"")</f>
        <v/>
      </c>
      <c r="G602" s="204"/>
      <c r="H602" s="204"/>
    </row>
    <row r="603" spans="2:8" ht="15.75" customHeight="1" x14ac:dyDescent="0.2">
      <c r="B603" s="30"/>
      <c r="C603" s="24"/>
      <c r="D603" s="24"/>
      <c r="E603" s="24"/>
      <c r="F603" s="24" t="str">
        <f t="array" ref="F603">IFERROR(INDEX(COA!$C$5:$C$59,MATCH(JURNAL!E603,COA!$B$5:$B$59,0)),"")</f>
        <v/>
      </c>
      <c r="G603" s="204"/>
      <c r="H603" s="204"/>
    </row>
    <row r="604" spans="2:8" ht="15.75" customHeight="1" x14ac:dyDescent="0.2">
      <c r="B604" s="30"/>
      <c r="C604" s="24"/>
      <c r="D604" s="24"/>
      <c r="E604" s="24"/>
      <c r="F604" s="24" t="str">
        <f t="array" ref="F604">IFERROR(INDEX(COA!$C$5:$C$59,MATCH(JURNAL!E604,COA!$B$5:$B$59,0)),"")</f>
        <v/>
      </c>
      <c r="G604" s="204"/>
      <c r="H604" s="204"/>
    </row>
    <row r="605" spans="2:8" ht="15.75" customHeight="1" x14ac:dyDescent="0.2">
      <c r="B605" s="30"/>
      <c r="C605" s="24"/>
      <c r="D605" s="24"/>
      <c r="E605" s="24"/>
      <c r="F605" s="24" t="str">
        <f t="array" ref="F605">IFERROR(INDEX(COA!$C$5:$C$59,MATCH(JURNAL!E605,COA!$B$5:$B$59,0)),"")</f>
        <v/>
      </c>
      <c r="G605" s="204"/>
      <c r="H605" s="204"/>
    </row>
    <row r="606" spans="2:8" ht="15.75" customHeight="1" x14ac:dyDescent="0.2">
      <c r="B606" s="30"/>
      <c r="C606" s="24"/>
      <c r="D606" s="24"/>
      <c r="E606" s="24"/>
      <c r="F606" s="24" t="str">
        <f t="array" ref="F606">IFERROR(INDEX(COA!$C$5:$C$59,MATCH(JURNAL!E606,COA!$B$5:$B$59,0)),"")</f>
        <v/>
      </c>
      <c r="G606" s="204"/>
      <c r="H606" s="204"/>
    </row>
    <row r="607" spans="2:8" ht="15.75" customHeight="1" x14ac:dyDescent="0.2">
      <c r="B607" s="30"/>
      <c r="C607" s="24"/>
      <c r="D607" s="24"/>
      <c r="E607" s="24"/>
      <c r="F607" s="24" t="str">
        <f t="array" ref="F607">IFERROR(INDEX(COA!$C$5:$C$59,MATCH(JURNAL!E607,COA!$B$5:$B$59,0)),"")</f>
        <v/>
      </c>
      <c r="G607" s="204"/>
      <c r="H607" s="204"/>
    </row>
    <row r="608" spans="2:8" ht="15.75" customHeight="1" x14ac:dyDescent="0.2">
      <c r="B608" s="30"/>
      <c r="C608" s="24"/>
      <c r="D608" s="24"/>
      <c r="E608" s="24"/>
      <c r="F608" s="24" t="str">
        <f t="array" ref="F608">IFERROR(INDEX(COA!$C$5:$C$59,MATCH(JURNAL!E608,COA!$B$5:$B$59,0)),"")</f>
        <v/>
      </c>
      <c r="G608" s="204"/>
      <c r="H608" s="204"/>
    </row>
    <row r="609" spans="2:8" ht="15.75" customHeight="1" x14ac:dyDescent="0.2">
      <c r="B609" s="30"/>
      <c r="C609" s="24"/>
      <c r="D609" s="24"/>
      <c r="E609" s="24"/>
      <c r="F609" s="24" t="str">
        <f t="array" ref="F609">IFERROR(INDEX(COA!$C$5:$C$59,MATCH(JURNAL!E609,COA!$B$5:$B$59,0)),"")</f>
        <v/>
      </c>
      <c r="G609" s="204"/>
      <c r="H609" s="204"/>
    </row>
    <row r="610" spans="2:8" ht="15.75" customHeight="1" x14ac:dyDescent="0.2">
      <c r="B610" s="30"/>
      <c r="C610" s="24"/>
      <c r="D610" s="24"/>
      <c r="E610" s="24"/>
      <c r="F610" s="24" t="str">
        <f t="array" ref="F610">IFERROR(INDEX(COA!$C$5:$C$59,MATCH(JURNAL!E610,COA!$B$5:$B$59,0)),"")</f>
        <v/>
      </c>
      <c r="G610" s="204"/>
      <c r="H610" s="204"/>
    </row>
    <row r="611" spans="2:8" ht="15.75" customHeight="1" x14ac:dyDescent="0.2">
      <c r="B611" s="30"/>
      <c r="C611" s="24"/>
      <c r="D611" s="24"/>
      <c r="E611" s="24"/>
      <c r="F611" s="24" t="str">
        <f t="array" ref="F611">IFERROR(INDEX(COA!$C$5:$C$59,MATCH(JURNAL!E611,COA!$B$5:$B$59,0)),"")</f>
        <v/>
      </c>
      <c r="G611" s="204"/>
      <c r="H611" s="204"/>
    </row>
    <row r="612" spans="2:8" ht="15.75" customHeight="1" x14ac:dyDescent="0.2">
      <c r="B612" s="30"/>
      <c r="C612" s="24"/>
      <c r="D612" s="24"/>
      <c r="E612" s="24"/>
      <c r="F612" s="24" t="str">
        <f t="array" ref="F612">IFERROR(INDEX(COA!$C$5:$C$59,MATCH(JURNAL!E612,COA!$B$5:$B$59,0)),"")</f>
        <v/>
      </c>
      <c r="G612" s="204"/>
      <c r="H612" s="204"/>
    </row>
    <row r="613" spans="2:8" ht="15.75" customHeight="1" x14ac:dyDescent="0.2">
      <c r="B613" s="30"/>
      <c r="C613" s="24"/>
      <c r="D613" s="24"/>
      <c r="E613" s="24"/>
      <c r="F613" s="24" t="str">
        <f t="array" ref="F613">IFERROR(INDEX(COA!$C$5:$C$59,MATCH(JURNAL!E613,COA!$B$5:$B$59,0)),"")</f>
        <v/>
      </c>
      <c r="G613" s="204"/>
      <c r="H613" s="204"/>
    </row>
    <row r="614" spans="2:8" ht="15.75" customHeight="1" x14ac:dyDescent="0.2">
      <c r="B614" s="30"/>
      <c r="C614" s="24"/>
      <c r="D614" s="24"/>
      <c r="E614" s="24"/>
      <c r="F614" s="24" t="str">
        <f t="array" ref="F614">IFERROR(INDEX(COA!$C$5:$C$59,MATCH(JURNAL!E614,COA!$B$5:$B$59,0)),"")</f>
        <v/>
      </c>
      <c r="G614" s="204"/>
      <c r="H614" s="204"/>
    </row>
    <row r="615" spans="2:8" ht="15.75" customHeight="1" x14ac:dyDescent="0.2">
      <c r="B615" s="30"/>
      <c r="C615" s="24"/>
      <c r="D615" s="24"/>
      <c r="E615" s="24"/>
      <c r="F615" s="24" t="str">
        <f t="array" ref="F615">IFERROR(INDEX(COA!$C$5:$C$59,MATCH(JURNAL!E615,COA!$B$5:$B$59,0)),"")</f>
        <v/>
      </c>
      <c r="G615" s="204"/>
      <c r="H615" s="204"/>
    </row>
    <row r="616" spans="2:8" ht="15.75" customHeight="1" x14ac:dyDescent="0.2">
      <c r="B616" s="30"/>
      <c r="C616" s="24"/>
      <c r="D616" s="24"/>
      <c r="E616" s="24"/>
      <c r="F616" s="24" t="str">
        <f t="array" ref="F616">IFERROR(INDEX(COA!$C$5:$C$59,MATCH(JURNAL!E616,COA!$B$5:$B$59,0)),"")</f>
        <v/>
      </c>
      <c r="G616" s="204"/>
      <c r="H616" s="204"/>
    </row>
    <row r="617" spans="2:8" ht="15.75" customHeight="1" x14ac:dyDescent="0.2">
      <c r="B617" s="30"/>
      <c r="C617" s="24"/>
      <c r="D617" s="24"/>
      <c r="E617" s="24"/>
      <c r="F617" s="24" t="str">
        <f t="array" ref="F617">IFERROR(INDEX(COA!$C$5:$C$59,MATCH(JURNAL!E617,COA!$B$5:$B$59,0)),"")</f>
        <v/>
      </c>
      <c r="G617" s="204"/>
      <c r="H617" s="204"/>
    </row>
    <row r="618" spans="2:8" ht="15.75" customHeight="1" x14ac:dyDescent="0.2">
      <c r="B618" s="30"/>
      <c r="C618" s="24"/>
      <c r="D618" s="24"/>
      <c r="E618" s="24"/>
      <c r="F618" s="24" t="str">
        <f t="array" ref="F618">IFERROR(INDEX(COA!$C$5:$C$59,MATCH(JURNAL!E618,COA!$B$5:$B$59,0)),"")</f>
        <v/>
      </c>
      <c r="G618" s="204"/>
      <c r="H618" s="204"/>
    </row>
    <row r="619" spans="2:8" ht="15.75" customHeight="1" x14ac:dyDescent="0.2">
      <c r="B619" s="30"/>
      <c r="C619" s="24"/>
      <c r="D619" s="24"/>
      <c r="E619" s="24"/>
      <c r="F619" s="24" t="str">
        <f t="array" ref="F619">IFERROR(INDEX(COA!$C$5:$C$59,MATCH(JURNAL!E619,COA!$B$5:$B$59,0)),"")</f>
        <v/>
      </c>
      <c r="G619" s="204"/>
      <c r="H619" s="204"/>
    </row>
    <row r="620" spans="2:8" ht="15.75" customHeight="1" x14ac:dyDescent="0.2">
      <c r="B620" s="30"/>
      <c r="C620" s="24"/>
      <c r="D620" s="24"/>
      <c r="E620" s="24"/>
      <c r="F620" s="24" t="str">
        <f t="array" ref="F620">IFERROR(INDEX(COA!$C$5:$C$59,MATCH(JURNAL!E620,COA!$B$5:$B$59,0)),"")</f>
        <v/>
      </c>
      <c r="G620" s="204"/>
      <c r="H620" s="204"/>
    </row>
    <row r="621" spans="2:8" ht="15.75" customHeight="1" x14ac:dyDescent="0.2">
      <c r="B621" s="30"/>
      <c r="C621" s="24"/>
      <c r="D621" s="24"/>
      <c r="E621" s="24"/>
      <c r="F621" s="24" t="str">
        <f t="array" ref="F621">IFERROR(INDEX(COA!$C$5:$C$59,MATCH(JURNAL!E621,COA!$B$5:$B$59,0)),"")</f>
        <v/>
      </c>
      <c r="G621" s="204"/>
      <c r="H621" s="204"/>
    </row>
    <row r="622" spans="2:8" ht="15.75" customHeight="1" x14ac:dyDescent="0.2">
      <c r="B622" s="30"/>
      <c r="C622" s="24"/>
      <c r="D622" s="24"/>
      <c r="E622" s="24"/>
      <c r="F622" s="24" t="str">
        <f t="array" ref="F622">IFERROR(INDEX(COA!$C$5:$C$59,MATCH(JURNAL!E622,COA!$B$5:$B$59,0)),"")</f>
        <v/>
      </c>
      <c r="G622" s="204"/>
      <c r="H622" s="204"/>
    </row>
    <row r="623" spans="2:8" ht="15.75" customHeight="1" x14ac:dyDescent="0.2">
      <c r="B623" s="30"/>
      <c r="C623" s="24"/>
      <c r="D623" s="24"/>
      <c r="E623" s="24"/>
      <c r="F623" s="24" t="str">
        <f t="array" ref="F623">IFERROR(INDEX(COA!$C$5:$C$59,MATCH(JURNAL!E623,COA!$B$5:$B$59,0)),"")</f>
        <v/>
      </c>
      <c r="G623" s="204"/>
      <c r="H623" s="204"/>
    </row>
    <row r="624" spans="2:8" ht="15.75" customHeight="1" x14ac:dyDescent="0.2">
      <c r="B624" s="30"/>
      <c r="C624" s="24"/>
      <c r="D624" s="24"/>
      <c r="E624" s="24"/>
      <c r="F624" s="24" t="str">
        <f t="array" ref="F624">IFERROR(INDEX(COA!$C$5:$C$59,MATCH(JURNAL!E624,COA!$B$5:$B$59,0)),"")</f>
        <v/>
      </c>
      <c r="G624" s="204"/>
      <c r="H624" s="204"/>
    </row>
    <row r="625" spans="2:8" ht="15.75" customHeight="1" x14ac:dyDescent="0.2">
      <c r="B625" s="30"/>
      <c r="C625" s="24"/>
      <c r="D625" s="24"/>
      <c r="E625" s="24"/>
      <c r="F625" s="24" t="str">
        <f t="array" ref="F625">IFERROR(INDEX(COA!$C$5:$C$59,MATCH(JURNAL!E625,COA!$B$5:$B$59,0)),"")</f>
        <v/>
      </c>
      <c r="G625" s="204"/>
      <c r="H625" s="204"/>
    </row>
    <row r="626" spans="2:8" ht="15.75" customHeight="1" x14ac:dyDescent="0.2">
      <c r="B626" s="30"/>
      <c r="C626" s="24"/>
      <c r="D626" s="24"/>
      <c r="E626" s="24"/>
      <c r="F626" s="24" t="str">
        <f t="array" ref="F626">IFERROR(INDEX(COA!$C$5:$C$59,MATCH(JURNAL!E626,COA!$B$5:$B$59,0)),"")</f>
        <v/>
      </c>
      <c r="G626" s="204"/>
      <c r="H626" s="204"/>
    </row>
    <row r="627" spans="2:8" ht="15.75" customHeight="1" x14ac:dyDescent="0.2">
      <c r="B627" s="30"/>
      <c r="C627" s="24"/>
      <c r="D627" s="24"/>
      <c r="E627" s="24"/>
      <c r="F627" s="24" t="str">
        <f t="array" ref="F627">IFERROR(INDEX(COA!$C$5:$C$59,MATCH(JURNAL!E627,COA!$B$5:$B$59,0)),"")</f>
        <v/>
      </c>
      <c r="G627" s="204"/>
      <c r="H627" s="204"/>
    </row>
    <row r="628" spans="2:8" ht="15.75" customHeight="1" x14ac:dyDescent="0.2">
      <c r="B628" s="30"/>
      <c r="C628" s="24"/>
      <c r="D628" s="24"/>
      <c r="E628" s="24"/>
      <c r="F628" s="24" t="str">
        <f t="array" ref="F628">IFERROR(INDEX(COA!$C$5:$C$59,MATCH(JURNAL!E628,COA!$B$5:$B$59,0)),"")</f>
        <v/>
      </c>
      <c r="G628" s="204"/>
      <c r="H628" s="204"/>
    </row>
    <row r="629" spans="2:8" ht="15.75" customHeight="1" x14ac:dyDescent="0.2">
      <c r="B629" s="30"/>
      <c r="C629" s="24"/>
      <c r="D629" s="24"/>
      <c r="E629" s="24"/>
      <c r="F629" s="24" t="str">
        <f t="array" ref="F629">IFERROR(INDEX(COA!$C$5:$C$59,MATCH(JURNAL!E629,COA!$B$5:$B$59,0)),"")</f>
        <v/>
      </c>
      <c r="G629" s="204"/>
      <c r="H629" s="204"/>
    </row>
    <row r="630" spans="2:8" ht="15.75" customHeight="1" x14ac:dyDescent="0.2">
      <c r="B630" s="30"/>
      <c r="C630" s="24"/>
      <c r="D630" s="24"/>
      <c r="E630" s="24"/>
      <c r="F630" s="24" t="str">
        <f t="array" ref="F630">IFERROR(INDEX(COA!$C$5:$C$59,MATCH(JURNAL!E630,COA!$B$5:$B$59,0)),"")</f>
        <v/>
      </c>
      <c r="G630" s="204"/>
      <c r="H630" s="204"/>
    </row>
    <row r="631" spans="2:8" ht="15.75" customHeight="1" x14ac:dyDescent="0.2">
      <c r="B631" s="30"/>
      <c r="C631" s="24"/>
      <c r="D631" s="24"/>
      <c r="E631" s="24"/>
      <c r="F631" s="24" t="str">
        <f t="array" ref="F631">IFERROR(INDEX(COA!$C$5:$C$59,MATCH(JURNAL!E631,COA!$B$5:$B$59,0)),"")</f>
        <v/>
      </c>
      <c r="G631" s="204"/>
      <c r="H631" s="204"/>
    </row>
    <row r="632" spans="2:8" ht="15.75" customHeight="1" x14ac:dyDescent="0.2">
      <c r="B632" s="30"/>
      <c r="C632" s="24"/>
      <c r="D632" s="24"/>
      <c r="E632" s="24"/>
      <c r="F632" s="24" t="str">
        <f t="array" ref="F632">IFERROR(INDEX(COA!$C$5:$C$59,MATCH(JURNAL!E632,COA!$B$5:$B$59,0)),"")</f>
        <v/>
      </c>
      <c r="G632" s="204"/>
      <c r="H632" s="204"/>
    </row>
    <row r="633" spans="2:8" ht="15.75" customHeight="1" x14ac:dyDescent="0.2">
      <c r="B633" s="30"/>
      <c r="C633" s="24"/>
      <c r="D633" s="24"/>
      <c r="E633" s="24"/>
      <c r="F633" s="24" t="str">
        <f t="array" ref="F633">IFERROR(INDEX(COA!$C$5:$C$59,MATCH(JURNAL!E633,COA!$B$5:$B$59,0)),"")</f>
        <v/>
      </c>
      <c r="G633" s="204"/>
      <c r="H633" s="204"/>
    </row>
    <row r="634" spans="2:8" ht="15.75" customHeight="1" x14ac:dyDescent="0.2">
      <c r="B634" s="30"/>
      <c r="C634" s="24"/>
      <c r="D634" s="24"/>
      <c r="E634" s="24"/>
      <c r="F634" s="24" t="str">
        <f t="array" ref="F634">IFERROR(INDEX(COA!$C$5:$C$59,MATCH(JURNAL!E634,COA!$B$5:$B$59,0)),"")</f>
        <v/>
      </c>
      <c r="G634" s="204"/>
      <c r="H634" s="204"/>
    </row>
    <row r="635" spans="2:8" ht="15.75" customHeight="1" x14ac:dyDescent="0.2">
      <c r="B635" s="30"/>
      <c r="C635" s="24"/>
      <c r="D635" s="24"/>
      <c r="E635" s="24"/>
      <c r="F635" s="24" t="str">
        <f t="array" ref="F635">IFERROR(INDEX(COA!$C$5:$C$59,MATCH(JURNAL!E635,COA!$B$5:$B$59,0)),"")</f>
        <v/>
      </c>
      <c r="G635" s="204"/>
      <c r="H635" s="204"/>
    </row>
    <row r="636" spans="2:8" ht="15.75" customHeight="1" x14ac:dyDescent="0.2">
      <c r="B636" s="30"/>
      <c r="C636" s="24"/>
      <c r="D636" s="24"/>
      <c r="E636" s="24"/>
      <c r="F636" s="24" t="str">
        <f t="array" ref="F636">IFERROR(INDEX(COA!$C$5:$C$59,MATCH(JURNAL!E636,COA!$B$5:$B$59,0)),"")</f>
        <v/>
      </c>
      <c r="G636" s="204"/>
      <c r="H636" s="204"/>
    </row>
    <row r="637" spans="2:8" ht="15.75" customHeight="1" x14ac:dyDescent="0.2">
      <c r="B637" s="30"/>
      <c r="C637" s="24"/>
      <c r="D637" s="24"/>
      <c r="E637" s="24"/>
      <c r="F637" s="24" t="str">
        <f t="array" ref="F637">IFERROR(INDEX(COA!$C$5:$C$59,MATCH(JURNAL!E637,COA!$B$5:$B$59,0)),"")</f>
        <v/>
      </c>
      <c r="G637" s="204"/>
      <c r="H637" s="204"/>
    </row>
    <row r="638" spans="2:8" ht="15.75" customHeight="1" x14ac:dyDescent="0.2">
      <c r="B638" s="30"/>
      <c r="C638" s="24"/>
      <c r="D638" s="24"/>
      <c r="E638" s="24"/>
      <c r="F638" s="24" t="str">
        <f t="array" ref="F638">IFERROR(INDEX(COA!$C$5:$C$59,MATCH(JURNAL!E638,COA!$B$5:$B$59,0)),"")</f>
        <v/>
      </c>
      <c r="G638" s="204"/>
      <c r="H638" s="204"/>
    </row>
    <row r="639" spans="2:8" ht="15.75" customHeight="1" x14ac:dyDescent="0.2">
      <c r="B639" s="30"/>
      <c r="C639" s="24"/>
      <c r="D639" s="24"/>
      <c r="E639" s="24"/>
      <c r="F639" s="24" t="str">
        <f t="array" ref="F639">IFERROR(INDEX(COA!$C$5:$C$59,MATCH(JURNAL!E639,COA!$B$5:$B$59,0)),"")</f>
        <v/>
      </c>
      <c r="G639" s="204"/>
      <c r="H639" s="204"/>
    </row>
    <row r="640" spans="2:8" ht="15.75" customHeight="1" x14ac:dyDescent="0.2">
      <c r="B640" s="30"/>
      <c r="C640" s="24"/>
      <c r="D640" s="24"/>
      <c r="E640" s="24"/>
      <c r="F640" s="24" t="str">
        <f t="array" ref="F640">IFERROR(INDEX(COA!$C$5:$C$59,MATCH(JURNAL!E640,COA!$B$5:$B$59,0)),"")</f>
        <v/>
      </c>
      <c r="G640" s="204"/>
      <c r="H640" s="204"/>
    </row>
    <row r="641" spans="2:8" ht="15.75" customHeight="1" x14ac:dyDescent="0.2">
      <c r="B641" s="30"/>
      <c r="C641" s="24"/>
      <c r="D641" s="24"/>
      <c r="E641" s="24"/>
      <c r="F641" s="24" t="str">
        <f t="array" ref="F641">IFERROR(INDEX(COA!$C$5:$C$59,MATCH(JURNAL!E641,COA!$B$5:$B$59,0)),"")</f>
        <v/>
      </c>
      <c r="G641" s="204"/>
      <c r="H641" s="204"/>
    </row>
    <row r="642" spans="2:8" ht="15.75" customHeight="1" x14ac:dyDescent="0.2">
      <c r="B642" s="30"/>
      <c r="C642" s="24"/>
      <c r="D642" s="24"/>
      <c r="E642" s="24"/>
      <c r="F642" s="24" t="str">
        <f t="array" ref="F642">IFERROR(INDEX(COA!$C$5:$C$59,MATCH(JURNAL!E642,COA!$B$5:$B$59,0)),"")</f>
        <v/>
      </c>
      <c r="G642" s="204"/>
      <c r="H642" s="204"/>
    </row>
    <row r="643" spans="2:8" ht="15.75" customHeight="1" x14ac:dyDescent="0.2">
      <c r="B643" s="30"/>
      <c r="C643" s="24"/>
      <c r="D643" s="24"/>
      <c r="E643" s="24"/>
      <c r="F643" s="24" t="str">
        <f t="array" ref="F643">IFERROR(INDEX(COA!$C$5:$C$59,MATCH(JURNAL!E643,COA!$B$5:$B$59,0)),"")</f>
        <v/>
      </c>
      <c r="G643" s="204"/>
      <c r="H643" s="204"/>
    </row>
    <row r="644" spans="2:8" ht="15.75" customHeight="1" x14ac:dyDescent="0.2">
      <c r="B644" s="30"/>
      <c r="C644" s="24"/>
      <c r="D644" s="24"/>
      <c r="E644" s="24"/>
      <c r="F644" s="24" t="str">
        <f t="array" ref="F644">IFERROR(INDEX(COA!$C$5:$C$59,MATCH(JURNAL!E644,COA!$B$5:$B$59,0)),"")</f>
        <v/>
      </c>
      <c r="G644" s="204"/>
      <c r="H644" s="204"/>
    </row>
    <row r="645" spans="2:8" ht="15.75" customHeight="1" x14ac:dyDescent="0.2">
      <c r="B645" s="30"/>
      <c r="C645" s="24"/>
      <c r="D645" s="24"/>
      <c r="E645" s="24"/>
      <c r="F645" s="24" t="str">
        <f t="array" ref="F645">IFERROR(INDEX(COA!$C$5:$C$59,MATCH(JURNAL!E645,COA!$B$5:$B$59,0)),"")</f>
        <v/>
      </c>
      <c r="G645" s="204"/>
      <c r="H645" s="204"/>
    </row>
    <row r="646" spans="2:8" ht="15.75" customHeight="1" x14ac:dyDescent="0.2">
      <c r="B646" s="30"/>
      <c r="C646" s="24"/>
      <c r="D646" s="24"/>
      <c r="E646" s="24"/>
      <c r="F646" s="24" t="str">
        <f t="array" ref="F646">IFERROR(INDEX(COA!$C$5:$C$59,MATCH(JURNAL!E646,COA!$B$5:$B$59,0)),"")</f>
        <v/>
      </c>
      <c r="G646" s="204"/>
      <c r="H646" s="204"/>
    </row>
    <row r="647" spans="2:8" ht="15.75" customHeight="1" x14ac:dyDescent="0.2">
      <c r="B647" s="30"/>
      <c r="C647" s="24"/>
      <c r="D647" s="24"/>
      <c r="E647" s="24"/>
      <c r="F647" s="24" t="str">
        <f t="array" ref="F647">IFERROR(INDEX(COA!$C$5:$C$59,MATCH(JURNAL!E647,COA!$B$5:$B$59,0)),"")</f>
        <v/>
      </c>
      <c r="G647" s="204"/>
      <c r="H647" s="204"/>
    </row>
    <row r="648" spans="2:8" ht="15.75" customHeight="1" x14ac:dyDescent="0.2">
      <c r="B648" s="30"/>
      <c r="C648" s="24"/>
      <c r="D648" s="24"/>
      <c r="E648" s="24"/>
      <c r="F648" s="24" t="str">
        <f t="array" ref="F648">IFERROR(INDEX(COA!$C$5:$C$59,MATCH(JURNAL!E648,COA!$B$5:$B$59,0)),"")</f>
        <v/>
      </c>
      <c r="G648" s="204"/>
      <c r="H648" s="204"/>
    </row>
    <row r="649" spans="2:8" ht="15.75" customHeight="1" x14ac:dyDescent="0.2">
      <c r="B649" s="30"/>
      <c r="C649" s="24"/>
      <c r="D649" s="24"/>
      <c r="E649" s="24"/>
      <c r="F649" s="24" t="str">
        <f t="array" ref="F649">IFERROR(INDEX(COA!$C$5:$C$59,MATCH(JURNAL!E649,COA!$B$5:$B$59,0)),"")</f>
        <v/>
      </c>
      <c r="G649" s="204"/>
      <c r="H649" s="204"/>
    </row>
    <row r="650" spans="2:8" ht="15.75" customHeight="1" x14ac:dyDescent="0.2">
      <c r="B650" s="30"/>
      <c r="C650" s="24"/>
      <c r="D650" s="24"/>
      <c r="E650" s="24"/>
      <c r="F650" s="24" t="str">
        <f t="array" ref="F650">IFERROR(INDEX(COA!$C$5:$C$59,MATCH(JURNAL!E650,COA!$B$5:$B$59,0)),"")</f>
        <v/>
      </c>
      <c r="G650" s="204"/>
      <c r="H650" s="204"/>
    </row>
    <row r="651" spans="2:8" ht="15.75" customHeight="1" x14ac:dyDescent="0.2">
      <c r="B651" s="30"/>
      <c r="C651" s="24"/>
      <c r="D651" s="24"/>
      <c r="E651" s="24"/>
      <c r="F651" s="24" t="str">
        <f t="array" ref="F651">IFERROR(INDEX(COA!$C$5:$C$59,MATCH(JURNAL!E651,COA!$B$5:$B$59,0)),"")</f>
        <v/>
      </c>
      <c r="G651" s="204"/>
      <c r="H651" s="204"/>
    </row>
    <row r="652" spans="2:8" ht="15.75" customHeight="1" x14ac:dyDescent="0.2">
      <c r="B652" s="30"/>
      <c r="C652" s="24"/>
      <c r="D652" s="24"/>
      <c r="E652" s="24"/>
      <c r="F652" s="24" t="str">
        <f t="array" ref="F652">IFERROR(INDEX(COA!$C$5:$C$59,MATCH(JURNAL!E652,COA!$B$5:$B$59,0)),"")</f>
        <v/>
      </c>
      <c r="G652" s="204"/>
      <c r="H652" s="204"/>
    </row>
    <row r="653" spans="2:8" ht="15.75" customHeight="1" x14ac:dyDescent="0.2">
      <c r="B653" s="30"/>
      <c r="C653" s="24"/>
      <c r="D653" s="24"/>
      <c r="E653" s="24"/>
      <c r="F653" s="24" t="str">
        <f t="array" ref="F653">IFERROR(INDEX(COA!$C$5:$C$59,MATCH(JURNAL!E653,COA!$B$5:$B$59,0)),"")</f>
        <v/>
      </c>
      <c r="G653" s="204"/>
      <c r="H653" s="204"/>
    </row>
    <row r="654" spans="2:8" ht="15.75" customHeight="1" x14ac:dyDescent="0.2">
      <c r="B654" s="30"/>
      <c r="C654" s="24"/>
      <c r="D654" s="24"/>
      <c r="E654" s="24"/>
      <c r="F654" s="24" t="str">
        <f t="array" ref="F654">IFERROR(INDEX(COA!$C$5:$C$59,MATCH(JURNAL!E654,COA!$B$5:$B$59,0)),"")</f>
        <v/>
      </c>
      <c r="G654" s="204"/>
      <c r="H654" s="204"/>
    </row>
    <row r="655" spans="2:8" ht="15.75" customHeight="1" x14ac:dyDescent="0.2">
      <c r="B655" s="30"/>
      <c r="C655" s="24"/>
      <c r="D655" s="24"/>
      <c r="E655" s="24"/>
      <c r="F655" s="24" t="str">
        <f t="array" ref="F655">IFERROR(INDEX(COA!$C$5:$C$59,MATCH(JURNAL!E655,COA!$B$5:$B$59,0)),"")</f>
        <v/>
      </c>
      <c r="G655" s="204"/>
      <c r="H655" s="204"/>
    </row>
    <row r="656" spans="2:8" ht="15.75" customHeight="1" x14ac:dyDescent="0.2">
      <c r="B656" s="30"/>
      <c r="C656" s="24"/>
      <c r="D656" s="24"/>
      <c r="E656" s="24"/>
      <c r="F656" s="24" t="str">
        <f t="array" ref="F656">IFERROR(INDEX(COA!$C$5:$C$59,MATCH(JURNAL!E656,COA!$B$5:$B$59,0)),"")</f>
        <v/>
      </c>
      <c r="G656" s="204"/>
      <c r="H656" s="204"/>
    </row>
    <row r="657" spans="2:8" ht="15.75" customHeight="1" x14ac:dyDescent="0.2">
      <c r="B657" s="30"/>
      <c r="C657" s="24"/>
      <c r="D657" s="24"/>
      <c r="E657" s="24"/>
      <c r="F657" s="24" t="str">
        <f t="array" ref="F657">IFERROR(INDEX(COA!$C$5:$C$59,MATCH(JURNAL!E657,COA!$B$5:$B$59,0)),"")</f>
        <v/>
      </c>
      <c r="G657" s="204"/>
      <c r="H657" s="204"/>
    </row>
    <row r="658" spans="2:8" ht="15.75" customHeight="1" x14ac:dyDescent="0.2">
      <c r="B658" s="30"/>
      <c r="C658" s="24"/>
      <c r="D658" s="24"/>
      <c r="E658" s="24"/>
      <c r="F658" s="24" t="str">
        <f t="array" ref="F658">IFERROR(INDEX(COA!$C$5:$C$59,MATCH(JURNAL!E658,COA!$B$5:$B$59,0)),"")</f>
        <v/>
      </c>
      <c r="G658" s="204"/>
      <c r="H658" s="204"/>
    </row>
    <row r="659" spans="2:8" ht="15.75" customHeight="1" x14ac:dyDescent="0.2">
      <c r="B659" s="30"/>
      <c r="C659" s="24"/>
      <c r="D659" s="24"/>
      <c r="E659" s="24"/>
      <c r="F659" s="24" t="str">
        <f t="array" ref="F659">IFERROR(INDEX(COA!$C$5:$C$59,MATCH(JURNAL!E659,COA!$B$5:$B$59,0)),"")</f>
        <v/>
      </c>
      <c r="G659" s="204"/>
      <c r="H659" s="204"/>
    </row>
    <row r="660" spans="2:8" ht="15.75" customHeight="1" x14ac:dyDescent="0.2">
      <c r="B660" s="30"/>
      <c r="C660" s="24"/>
      <c r="D660" s="24"/>
      <c r="E660" s="24"/>
      <c r="F660" s="24" t="str">
        <f t="array" ref="F660">IFERROR(INDEX(COA!$C$5:$C$59,MATCH(JURNAL!E660,COA!$B$5:$B$59,0)),"")</f>
        <v/>
      </c>
      <c r="G660" s="204"/>
      <c r="H660" s="204"/>
    </row>
    <row r="661" spans="2:8" ht="15.75" customHeight="1" x14ac:dyDescent="0.2">
      <c r="B661" s="30"/>
      <c r="C661" s="24"/>
      <c r="D661" s="24"/>
      <c r="E661" s="24"/>
      <c r="F661" s="24" t="str">
        <f t="array" ref="F661">IFERROR(INDEX(COA!$C$5:$C$59,MATCH(JURNAL!E661,COA!$B$5:$B$59,0)),"")</f>
        <v/>
      </c>
      <c r="G661" s="204"/>
      <c r="H661" s="204"/>
    </row>
    <row r="662" spans="2:8" ht="15.75" customHeight="1" x14ac:dyDescent="0.2">
      <c r="B662" s="30"/>
      <c r="C662" s="24"/>
      <c r="D662" s="24"/>
      <c r="E662" s="24"/>
      <c r="F662" s="24" t="str">
        <f t="array" ref="F662">IFERROR(INDEX(COA!$C$5:$C$59,MATCH(JURNAL!E662,COA!$B$5:$B$59,0)),"")</f>
        <v/>
      </c>
      <c r="G662" s="204"/>
      <c r="H662" s="204"/>
    </row>
    <row r="663" spans="2:8" ht="15.75" customHeight="1" x14ac:dyDescent="0.2">
      <c r="B663" s="30"/>
      <c r="C663" s="24"/>
      <c r="D663" s="24"/>
      <c r="E663" s="24"/>
      <c r="F663" s="24" t="str">
        <f t="array" ref="F663">IFERROR(INDEX(COA!$C$5:$C$59,MATCH(JURNAL!E663,COA!$B$5:$B$59,0)),"")</f>
        <v/>
      </c>
      <c r="G663" s="204"/>
      <c r="H663" s="204"/>
    </row>
    <row r="664" spans="2:8" ht="15.75" customHeight="1" x14ac:dyDescent="0.2">
      <c r="B664" s="30"/>
      <c r="C664" s="24"/>
      <c r="D664" s="24"/>
      <c r="E664" s="24"/>
      <c r="F664" s="24" t="str">
        <f t="array" ref="F664">IFERROR(INDEX(COA!$C$5:$C$59,MATCH(JURNAL!E664,COA!$B$5:$B$59,0)),"")</f>
        <v/>
      </c>
      <c r="G664" s="204"/>
      <c r="H664" s="204"/>
    </row>
    <row r="665" spans="2:8" ht="15.75" customHeight="1" x14ac:dyDescent="0.2">
      <c r="B665" s="30"/>
      <c r="C665" s="24"/>
      <c r="D665" s="24"/>
      <c r="E665" s="24"/>
      <c r="F665" s="24" t="str">
        <f t="array" ref="F665">IFERROR(INDEX(COA!$C$5:$C$59,MATCH(JURNAL!E665,COA!$B$5:$B$59,0)),"")</f>
        <v/>
      </c>
      <c r="G665" s="204"/>
      <c r="H665" s="204"/>
    </row>
    <row r="666" spans="2:8" ht="15.75" customHeight="1" x14ac:dyDescent="0.2">
      <c r="B666" s="30"/>
      <c r="C666" s="24"/>
      <c r="D666" s="24"/>
      <c r="E666" s="24"/>
      <c r="F666" s="24" t="str">
        <f t="array" ref="F666">IFERROR(INDEX(COA!$C$5:$C$59,MATCH(JURNAL!E666,COA!$B$5:$B$59,0)),"")</f>
        <v/>
      </c>
      <c r="G666" s="204"/>
      <c r="H666" s="204"/>
    </row>
    <row r="667" spans="2:8" ht="15.75" customHeight="1" x14ac:dyDescent="0.2">
      <c r="B667" s="30"/>
      <c r="C667" s="24"/>
      <c r="D667" s="24"/>
      <c r="E667" s="24"/>
      <c r="F667" s="24" t="str">
        <f t="array" ref="F667">IFERROR(INDEX(COA!$C$5:$C$59,MATCH(JURNAL!E667,COA!$B$5:$B$59,0)),"")</f>
        <v/>
      </c>
      <c r="G667" s="204"/>
      <c r="H667" s="204"/>
    </row>
    <row r="668" spans="2:8" ht="15.75" customHeight="1" x14ac:dyDescent="0.2">
      <c r="B668" s="30"/>
      <c r="C668" s="24"/>
      <c r="D668" s="24"/>
      <c r="E668" s="24"/>
      <c r="F668" s="24" t="str">
        <f t="array" ref="F668">IFERROR(INDEX(COA!$C$5:$C$59,MATCH(JURNAL!E668,COA!$B$5:$B$59,0)),"")</f>
        <v/>
      </c>
      <c r="G668" s="204"/>
      <c r="H668" s="204"/>
    </row>
    <row r="669" spans="2:8" ht="15.75" customHeight="1" x14ac:dyDescent="0.2">
      <c r="B669" s="30"/>
      <c r="C669" s="24"/>
      <c r="D669" s="24"/>
      <c r="E669" s="24"/>
      <c r="F669" s="24" t="str">
        <f t="array" ref="F669">IFERROR(INDEX(COA!$C$5:$C$59,MATCH(JURNAL!E669,COA!$B$5:$B$59,0)),"")</f>
        <v/>
      </c>
      <c r="G669" s="204"/>
      <c r="H669" s="204"/>
    </row>
    <row r="670" spans="2:8" ht="15.75" customHeight="1" x14ac:dyDescent="0.2">
      <c r="B670" s="30"/>
      <c r="C670" s="24"/>
      <c r="D670" s="24"/>
      <c r="E670" s="24"/>
      <c r="F670" s="24" t="str">
        <f t="array" ref="F670">IFERROR(INDEX(COA!$C$5:$C$59,MATCH(JURNAL!E670,COA!$B$5:$B$59,0)),"")</f>
        <v/>
      </c>
      <c r="G670" s="204"/>
      <c r="H670" s="204"/>
    </row>
    <row r="671" spans="2:8" ht="15.75" customHeight="1" x14ac:dyDescent="0.2">
      <c r="B671" s="30"/>
      <c r="C671" s="24"/>
      <c r="D671" s="24"/>
      <c r="E671" s="24"/>
      <c r="F671" s="24" t="str">
        <f t="array" ref="F671">IFERROR(INDEX(COA!$C$5:$C$59,MATCH(JURNAL!E671,COA!$B$5:$B$59,0)),"")</f>
        <v/>
      </c>
      <c r="G671" s="204"/>
      <c r="H671" s="204"/>
    </row>
    <row r="672" spans="2:8" ht="15.75" customHeight="1" x14ac:dyDescent="0.2">
      <c r="B672" s="30"/>
      <c r="C672" s="24"/>
      <c r="D672" s="24"/>
      <c r="E672" s="24"/>
      <c r="F672" s="24" t="str">
        <f t="array" ref="F672">IFERROR(INDEX(COA!$C$5:$C$59,MATCH(JURNAL!E672,COA!$B$5:$B$59,0)),"")</f>
        <v/>
      </c>
      <c r="G672" s="204"/>
      <c r="H672" s="204"/>
    </row>
    <row r="673" spans="2:8" ht="15.75" customHeight="1" x14ac:dyDescent="0.2">
      <c r="B673" s="30"/>
      <c r="C673" s="24"/>
      <c r="D673" s="24"/>
      <c r="E673" s="24"/>
      <c r="F673" s="24" t="str">
        <f t="array" ref="F673">IFERROR(INDEX(COA!$C$5:$C$59,MATCH(JURNAL!E673,COA!$B$5:$B$59,0)),"")</f>
        <v/>
      </c>
      <c r="G673" s="204"/>
      <c r="H673" s="204"/>
    </row>
    <row r="674" spans="2:8" ht="15.75" customHeight="1" x14ac:dyDescent="0.2">
      <c r="B674" s="30"/>
      <c r="C674" s="24"/>
      <c r="D674" s="24"/>
      <c r="E674" s="24"/>
      <c r="F674" s="24" t="str">
        <f t="array" ref="F674">IFERROR(INDEX(COA!$C$5:$C$59,MATCH(JURNAL!E674,COA!$B$5:$B$59,0)),"")</f>
        <v/>
      </c>
      <c r="G674" s="204"/>
      <c r="H674" s="204"/>
    </row>
    <row r="675" spans="2:8" ht="15.75" customHeight="1" x14ac:dyDescent="0.2">
      <c r="B675" s="30"/>
      <c r="C675" s="24"/>
      <c r="D675" s="24"/>
      <c r="E675" s="24"/>
      <c r="F675" s="24" t="str">
        <f t="array" ref="F675">IFERROR(INDEX(COA!$C$5:$C$59,MATCH(JURNAL!E675,COA!$B$5:$B$59,0)),"")</f>
        <v/>
      </c>
      <c r="G675" s="204"/>
      <c r="H675" s="204"/>
    </row>
    <row r="676" spans="2:8" ht="15.75" customHeight="1" x14ac:dyDescent="0.2">
      <c r="B676" s="30"/>
      <c r="C676" s="24"/>
      <c r="D676" s="24"/>
      <c r="E676" s="24"/>
      <c r="F676" s="24" t="str">
        <f t="array" ref="F676">IFERROR(INDEX(COA!$C$5:$C$59,MATCH(JURNAL!E676,COA!$B$5:$B$59,0)),"")</f>
        <v/>
      </c>
      <c r="G676" s="204"/>
      <c r="H676" s="204"/>
    </row>
    <row r="677" spans="2:8" ht="15.75" customHeight="1" x14ac:dyDescent="0.2">
      <c r="B677" s="30"/>
      <c r="C677" s="24"/>
      <c r="D677" s="24"/>
      <c r="E677" s="24"/>
      <c r="F677" s="24" t="str">
        <f t="array" ref="F677">IFERROR(INDEX(COA!$C$5:$C$59,MATCH(JURNAL!E677,COA!$B$5:$B$59,0)),"")</f>
        <v/>
      </c>
      <c r="G677" s="204"/>
      <c r="H677" s="204"/>
    </row>
    <row r="678" spans="2:8" ht="15.75" customHeight="1" x14ac:dyDescent="0.2">
      <c r="B678" s="30"/>
      <c r="C678" s="24"/>
      <c r="D678" s="24"/>
      <c r="E678" s="24"/>
      <c r="F678" s="24" t="str">
        <f t="array" ref="F678">IFERROR(INDEX(COA!$C$5:$C$59,MATCH(JURNAL!E678,COA!$B$5:$B$59,0)),"")</f>
        <v/>
      </c>
      <c r="G678" s="204"/>
      <c r="H678" s="204"/>
    </row>
    <row r="679" spans="2:8" ht="15.75" customHeight="1" x14ac:dyDescent="0.2">
      <c r="B679" s="30"/>
      <c r="C679" s="24"/>
      <c r="D679" s="24"/>
      <c r="E679" s="24"/>
      <c r="F679" s="24" t="str">
        <f t="array" ref="F679">IFERROR(INDEX(COA!$C$5:$C$59,MATCH(JURNAL!E679,COA!$B$5:$B$59,0)),"")</f>
        <v/>
      </c>
      <c r="G679" s="204"/>
      <c r="H679" s="204"/>
    </row>
    <row r="680" spans="2:8" ht="15.75" customHeight="1" x14ac:dyDescent="0.2">
      <c r="B680" s="30"/>
      <c r="C680" s="24"/>
      <c r="D680" s="24"/>
      <c r="E680" s="24"/>
      <c r="F680" s="24" t="str">
        <f t="array" ref="F680">IFERROR(INDEX(COA!$C$5:$C$59,MATCH(JURNAL!E680,COA!$B$5:$B$59,0)),"")</f>
        <v/>
      </c>
      <c r="G680" s="204"/>
      <c r="H680" s="204"/>
    </row>
    <row r="681" spans="2:8" ht="15.75" customHeight="1" x14ac:dyDescent="0.2">
      <c r="B681" s="30"/>
      <c r="C681" s="24"/>
      <c r="D681" s="24"/>
      <c r="E681" s="24"/>
      <c r="F681" s="24" t="str">
        <f t="array" ref="F681">IFERROR(INDEX(COA!$C$5:$C$59,MATCH(JURNAL!E681,COA!$B$5:$B$59,0)),"")</f>
        <v/>
      </c>
      <c r="G681" s="204"/>
      <c r="H681" s="204"/>
    </row>
    <row r="682" spans="2:8" ht="15.75" customHeight="1" x14ac:dyDescent="0.2">
      <c r="B682" s="30"/>
      <c r="C682" s="24"/>
      <c r="D682" s="24"/>
      <c r="E682" s="24"/>
      <c r="F682" s="24" t="str">
        <f t="array" ref="F682">IFERROR(INDEX(COA!$C$5:$C$59,MATCH(JURNAL!E682,COA!$B$5:$B$59,0)),"")</f>
        <v/>
      </c>
      <c r="G682" s="204"/>
      <c r="H682" s="204"/>
    </row>
    <row r="683" spans="2:8" ht="15.75" customHeight="1" x14ac:dyDescent="0.2">
      <c r="B683" s="30"/>
      <c r="C683" s="24"/>
      <c r="D683" s="24"/>
      <c r="E683" s="24"/>
      <c r="F683" s="24" t="str">
        <f t="array" ref="F683">IFERROR(INDEX(COA!$C$5:$C$59,MATCH(JURNAL!E683,COA!$B$5:$B$59,0)),"")</f>
        <v/>
      </c>
      <c r="G683" s="204"/>
      <c r="H683" s="204"/>
    </row>
    <row r="684" spans="2:8" ht="15.75" customHeight="1" x14ac:dyDescent="0.2">
      <c r="B684" s="30"/>
      <c r="C684" s="24"/>
      <c r="D684" s="24"/>
      <c r="E684" s="24"/>
      <c r="F684" s="24" t="str">
        <f t="array" ref="F684">IFERROR(INDEX(COA!$C$5:$C$59,MATCH(JURNAL!E684,COA!$B$5:$B$59,0)),"")</f>
        <v/>
      </c>
      <c r="G684" s="204"/>
      <c r="H684" s="204"/>
    </row>
    <row r="685" spans="2:8" ht="15.75" customHeight="1" x14ac:dyDescent="0.2">
      <c r="B685" s="30"/>
      <c r="C685" s="24"/>
      <c r="D685" s="24"/>
      <c r="E685" s="24"/>
      <c r="F685" s="24" t="str">
        <f t="array" ref="F685">IFERROR(INDEX(COA!$C$5:$C$59,MATCH(JURNAL!E685,COA!$B$5:$B$59,0)),"")</f>
        <v/>
      </c>
      <c r="G685" s="204"/>
      <c r="H685" s="204"/>
    </row>
    <row r="686" spans="2:8" ht="15.75" customHeight="1" x14ac:dyDescent="0.2">
      <c r="B686" s="30"/>
      <c r="C686" s="24"/>
      <c r="D686" s="24"/>
      <c r="E686" s="24"/>
      <c r="F686" s="24" t="str">
        <f t="array" ref="F686">IFERROR(INDEX(COA!$C$5:$C$59,MATCH(JURNAL!E686,COA!$B$5:$B$59,0)),"")</f>
        <v/>
      </c>
      <c r="G686" s="204"/>
      <c r="H686" s="204"/>
    </row>
    <row r="687" spans="2:8" ht="15.75" customHeight="1" x14ac:dyDescent="0.2">
      <c r="B687" s="30"/>
      <c r="C687" s="24"/>
      <c r="D687" s="24"/>
      <c r="E687" s="24"/>
      <c r="F687" s="24" t="str">
        <f t="array" ref="F687">IFERROR(INDEX(COA!$C$5:$C$59,MATCH(JURNAL!E687,COA!$B$5:$B$59,0)),"")</f>
        <v/>
      </c>
      <c r="G687" s="204"/>
      <c r="H687" s="204"/>
    </row>
    <row r="688" spans="2:8" ht="15.75" customHeight="1" x14ac:dyDescent="0.2">
      <c r="B688" s="30"/>
      <c r="C688" s="24"/>
      <c r="D688" s="24"/>
      <c r="E688" s="24"/>
      <c r="F688" s="24" t="str">
        <f t="array" ref="F688">IFERROR(INDEX(COA!$C$5:$C$59,MATCH(JURNAL!E688,COA!$B$5:$B$59,0)),"")</f>
        <v/>
      </c>
      <c r="G688" s="204"/>
      <c r="H688" s="204"/>
    </row>
    <row r="689" spans="2:8" ht="15.75" customHeight="1" x14ac:dyDescent="0.2">
      <c r="B689" s="30"/>
      <c r="C689" s="24"/>
      <c r="D689" s="24"/>
      <c r="E689" s="24"/>
      <c r="F689" s="24" t="str">
        <f t="array" ref="F689">IFERROR(INDEX(COA!$C$5:$C$59,MATCH(JURNAL!E689,COA!$B$5:$B$59,0)),"")</f>
        <v/>
      </c>
      <c r="G689" s="204"/>
      <c r="H689" s="204"/>
    </row>
    <row r="690" spans="2:8" ht="15.75" customHeight="1" x14ac:dyDescent="0.2">
      <c r="B690" s="30"/>
      <c r="C690" s="24"/>
      <c r="D690" s="24"/>
      <c r="E690" s="24"/>
      <c r="F690" s="24" t="str">
        <f t="array" ref="F690">IFERROR(INDEX(COA!$C$5:$C$59,MATCH(JURNAL!E690,COA!$B$5:$B$59,0)),"")</f>
        <v/>
      </c>
      <c r="G690" s="204"/>
      <c r="H690" s="204"/>
    </row>
    <row r="691" spans="2:8" ht="15.75" customHeight="1" x14ac:dyDescent="0.2">
      <c r="B691" s="30"/>
      <c r="C691" s="24"/>
      <c r="D691" s="24"/>
      <c r="E691" s="24"/>
      <c r="F691" s="24" t="str">
        <f t="array" ref="F691">IFERROR(INDEX(COA!$C$5:$C$59,MATCH(JURNAL!E691,COA!$B$5:$B$59,0)),"")</f>
        <v/>
      </c>
      <c r="G691" s="204"/>
      <c r="H691" s="204"/>
    </row>
    <row r="692" spans="2:8" ht="15.75" customHeight="1" x14ac:dyDescent="0.2">
      <c r="B692" s="30"/>
      <c r="C692" s="24"/>
      <c r="D692" s="24"/>
      <c r="E692" s="24"/>
      <c r="F692" s="24" t="str">
        <f t="array" ref="F692">IFERROR(INDEX(COA!$C$5:$C$59,MATCH(JURNAL!E692,COA!$B$5:$B$59,0)),"")</f>
        <v/>
      </c>
      <c r="G692" s="204"/>
      <c r="H692" s="204"/>
    </row>
    <row r="693" spans="2:8" ht="15.75" customHeight="1" x14ac:dyDescent="0.2">
      <c r="B693" s="30"/>
      <c r="C693" s="24"/>
      <c r="D693" s="24"/>
      <c r="E693" s="24"/>
      <c r="F693" s="24" t="str">
        <f t="array" ref="F693">IFERROR(INDEX(COA!$C$5:$C$59,MATCH(JURNAL!E693,COA!$B$5:$B$59,0)),"")</f>
        <v/>
      </c>
      <c r="G693" s="204"/>
      <c r="H693" s="204"/>
    </row>
    <row r="694" spans="2:8" ht="15.75" customHeight="1" x14ac:dyDescent="0.2">
      <c r="B694" s="30"/>
      <c r="C694" s="24"/>
      <c r="D694" s="24"/>
      <c r="E694" s="24"/>
      <c r="F694" s="24" t="str">
        <f t="array" ref="F694">IFERROR(INDEX(COA!$C$5:$C$59,MATCH(JURNAL!E694,COA!$B$5:$B$59,0)),"")</f>
        <v/>
      </c>
      <c r="G694" s="204"/>
      <c r="H694" s="204"/>
    </row>
    <row r="695" spans="2:8" ht="15.75" customHeight="1" x14ac:dyDescent="0.2">
      <c r="B695" s="30"/>
      <c r="C695" s="24"/>
      <c r="D695" s="24"/>
      <c r="E695" s="24"/>
      <c r="F695" s="24" t="str">
        <f t="array" ref="F695">IFERROR(INDEX(COA!$C$5:$C$59,MATCH(JURNAL!E695,COA!$B$5:$B$59,0)),"")</f>
        <v/>
      </c>
      <c r="G695" s="204"/>
      <c r="H695" s="204"/>
    </row>
    <row r="696" spans="2:8" ht="15.75" customHeight="1" x14ac:dyDescent="0.2">
      <c r="B696" s="30"/>
      <c r="C696" s="24"/>
      <c r="D696" s="24"/>
      <c r="E696" s="24"/>
      <c r="F696" s="24" t="str">
        <f t="array" ref="F696">IFERROR(INDEX(COA!$C$5:$C$59,MATCH(JURNAL!E696,COA!$B$5:$B$59,0)),"")</f>
        <v/>
      </c>
      <c r="G696" s="204"/>
      <c r="H696" s="204"/>
    </row>
    <row r="697" spans="2:8" ht="15.75" customHeight="1" x14ac:dyDescent="0.2">
      <c r="B697" s="30"/>
      <c r="C697" s="24"/>
      <c r="D697" s="24"/>
      <c r="E697" s="24"/>
      <c r="F697" s="24" t="str">
        <f t="array" ref="F697">IFERROR(INDEX(COA!$C$5:$C$59,MATCH(JURNAL!E697,COA!$B$5:$B$59,0)),"")</f>
        <v/>
      </c>
      <c r="G697" s="204"/>
      <c r="H697" s="204"/>
    </row>
    <row r="698" spans="2:8" ht="15.75" customHeight="1" x14ac:dyDescent="0.2">
      <c r="B698" s="30"/>
      <c r="C698" s="24"/>
      <c r="D698" s="24"/>
      <c r="E698" s="24"/>
      <c r="F698" s="24" t="str">
        <f t="array" ref="F698">IFERROR(INDEX(COA!$C$5:$C$59,MATCH(JURNAL!E698,COA!$B$5:$B$59,0)),"")</f>
        <v/>
      </c>
      <c r="G698" s="204"/>
      <c r="H698" s="204"/>
    </row>
    <row r="699" spans="2:8" ht="15.75" customHeight="1" x14ac:dyDescent="0.2">
      <c r="B699" s="30"/>
      <c r="C699" s="24"/>
      <c r="D699" s="24"/>
      <c r="E699" s="24"/>
      <c r="F699" s="24" t="str">
        <f t="array" ref="F699">IFERROR(INDEX(COA!$C$5:$C$59,MATCH(JURNAL!E699,COA!$B$5:$B$59,0)),"")</f>
        <v/>
      </c>
      <c r="G699" s="204"/>
      <c r="H699" s="204"/>
    </row>
    <row r="700" spans="2:8" ht="15.75" customHeight="1" x14ac:dyDescent="0.2">
      <c r="B700" s="30"/>
      <c r="C700" s="24"/>
      <c r="D700" s="24"/>
      <c r="E700" s="24"/>
      <c r="F700" s="24" t="str">
        <f t="array" ref="F700">IFERROR(INDEX(COA!$C$5:$C$59,MATCH(JURNAL!E700,COA!$B$5:$B$59,0)),"")</f>
        <v/>
      </c>
      <c r="G700" s="204"/>
      <c r="H700" s="204"/>
    </row>
    <row r="701" spans="2:8" ht="15.75" customHeight="1" x14ac:dyDescent="0.2">
      <c r="B701" s="30"/>
      <c r="C701" s="24"/>
      <c r="D701" s="24"/>
      <c r="E701" s="24"/>
      <c r="F701" s="24" t="str">
        <f t="array" ref="F701">IFERROR(INDEX(COA!$C$5:$C$59,MATCH(JURNAL!E701,COA!$B$5:$B$59,0)),"")</f>
        <v/>
      </c>
      <c r="G701" s="204"/>
      <c r="H701" s="204"/>
    </row>
    <row r="702" spans="2:8" ht="15.75" customHeight="1" x14ac:dyDescent="0.2">
      <c r="B702" s="30"/>
      <c r="C702" s="24"/>
      <c r="D702" s="24"/>
      <c r="E702" s="24"/>
      <c r="F702" s="24" t="str">
        <f t="array" ref="F702">IFERROR(INDEX(COA!$C$5:$C$59,MATCH(JURNAL!E702,COA!$B$5:$B$59,0)),"")</f>
        <v/>
      </c>
      <c r="G702" s="204"/>
      <c r="H702" s="204"/>
    </row>
    <row r="703" spans="2:8" ht="15.75" customHeight="1" x14ac:dyDescent="0.2">
      <c r="B703" s="30"/>
      <c r="C703" s="24"/>
      <c r="D703" s="24"/>
      <c r="E703" s="24"/>
      <c r="F703" s="24" t="str">
        <f t="array" ref="F703">IFERROR(INDEX(COA!$C$5:$C$59,MATCH(JURNAL!E703,COA!$B$5:$B$59,0)),"")</f>
        <v/>
      </c>
      <c r="G703" s="204"/>
      <c r="H703" s="204"/>
    </row>
    <row r="704" spans="2:8" ht="15.75" customHeight="1" x14ac:dyDescent="0.2">
      <c r="B704" s="30"/>
      <c r="C704" s="24"/>
      <c r="D704" s="24"/>
      <c r="E704" s="24"/>
      <c r="F704" s="24" t="str">
        <f t="array" ref="F704">IFERROR(INDEX(COA!$C$5:$C$59,MATCH(JURNAL!E704,COA!$B$5:$B$59,0)),"")</f>
        <v/>
      </c>
      <c r="G704" s="204"/>
      <c r="H704" s="204"/>
    </row>
    <row r="705" spans="2:8" ht="15.75" customHeight="1" x14ac:dyDescent="0.2">
      <c r="B705" s="30"/>
      <c r="C705" s="24"/>
      <c r="D705" s="24"/>
      <c r="E705" s="24"/>
      <c r="F705" s="24" t="str">
        <f t="array" ref="F705">IFERROR(INDEX(COA!$C$5:$C$59,MATCH(JURNAL!E705,COA!$B$5:$B$59,0)),"")</f>
        <v/>
      </c>
      <c r="G705" s="204"/>
      <c r="H705" s="204"/>
    </row>
    <row r="706" spans="2:8" ht="15.75" customHeight="1" x14ac:dyDescent="0.2">
      <c r="B706" s="30"/>
      <c r="C706" s="24"/>
      <c r="D706" s="24"/>
      <c r="E706" s="24"/>
      <c r="F706" s="24" t="str">
        <f t="array" ref="F706">IFERROR(INDEX(COA!$C$5:$C$59,MATCH(JURNAL!E706,COA!$B$5:$B$59,0)),"")</f>
        <v/>
      </c>
      <c r="G706" s="204"/>
      <c r="H706" s="204"/>
    </row>
    <row r="707" spans="2:8" ht="15.75" customHeight="1" x14ac:dyDescent="0.2">
      <c r="B707" s="30"/>
      <c r="C707" s="24"/>
      <c r="D707" s="24"/>
      <c r="E707" s="24"/>
      <c r="F707" s="24" t="str">
        <f t="array" ref="F707">IFERROR(INDEX(COA!$C$5:$C$59,MATCH(JURNAL!E707,COA!$B$5:$B$59,0)),"")</f>
        <v/>
      </c>
      <c r="G707" s="204"/>
      <c r="H707" s="204"/>
    </row>
    <row r="708" spans="2:8" ht="15.75" customHeight="1" x14ac:dyDescent="0.2">
      <c r="B708" s="30"/>
      <c r="C708" s="24"/>
      <c r="D708" s="24"/>
      <c r="E708" s="24"/>
      <c r="F708" s="24" t="str">
        <f t="array" ref="F708">IFERROR(INDEX(COA!$C$5:$C$59,MATCH(JURNAL!E708,COA!$B$5:$B$59,0)),"")</f>
        <v/>
      </c>
      <c r="G708" s="204"/>
      <c r="H708" s="204"/>
    </row>
    <row r="709" spans="2:8" ht="15.75" customHeight="1" x14ac:dyDescent="0.2">
      <c r="B709" s="30"/>
      <c r="C709" s="24"/>
      <c r="D709" s="24"/>
      <c r="E709" s="24"/>
      <c r="F709" s="24" t="str">
        <f t="array" ref="F709">IFERROR(INDEX(COA!$C$5:$C$59,MATCH(JURNAL!E709,COA!$B$5:$B$59,0)),"")</f>
        <v/>
      </c>
      <c r="G709" s="204"/>
      <c r="H709" s="204"/>
    </row>
    <row r="710" spans="2:8" ht="15.75" customHeight="1" x14ac:dyDescent="0.2">
      <c r="B710" s="30"/>
      <c r="C710" s="24"/>
      <c r="D710" s="24"/>
      <c r="E710" s="24"/>
      <c r="F710" s="24" t="str">
        <f t="array" ref="F710">IFERROR(INDEX(COA!$C$5:$C$59,MATCH(JURNAL!E710,COA!$B$5:$B$59,0)),"")</f>
        <v/>
      </c>
      <c r="G710" s="204"/>
      <c r="H710" s="204"/>
    </row>
    <row r="711" spans="2:8" ht="15.75" customHeight="1" x14ac:dyDescent="0.2">
      <c r="B711" s="30"/>
      <c r="C711" s="24"/>
      <c r="D711" s="24"/>
      <c r="E711" s="24"/>
      <c r="F711" s="24" t="str">
        <f t="array" ref="F711">IFERROR(INDEX(COA!$C$5:$C$59,MATCH(JURNAL!E711,COA!$B$5:$B$59,0)),"")</f>
        <v/>
      </c>
      <c r="G711" s="204"/>
      <c r="H711" s="204"/>
    </row>
    <row r="712" spans="2:8" ht="15.75" customHeight="1" x14ac:dyDescent="0.2">
      <c r="B712" s="30"/>
      <c r="C712" s="24"/>
      <c r="D712" s="24"/>
      <c r="E712" s="24"/>
      <c r="F712" s="24" t="str">
        <f t="array" ref="F712">IFERROR(INDEX(COA!$C$5:$C$59,MATCH(JURNAL!E712,COA!$B$5:$B$59,0)),"")</f>
        <v/>
      </c>
      <c r="G712" s="204"/>
      <c r="H712" s="204"/>
    </row>
    <row r="713" spans="2:8" ht="15.75" customHeight="1" x14ac:dyDescent="0.2">
      <c r="B713" s="30"/>
      <c r="C713" s="24"/>
      <c r="D713" s="24"/>
      <c r="E713" s="24"/>
      <c r="F713" s="24" t="str">
        <f t="array" ref="F713">IFERROR(INDEX(COA!$C$5:$C$59,MATCH(JURNAL!E713,COA!$B$5:$B$59,0)),"")</f>
        <v/>
      </c>
      <c r="G713" s="204"/>
      <c r="H713" s="204"/>
    </row>
    <row r="714" spans="2:8" ht="15.75" customHeight="1" x14ac:dyDescent="0.2">
      <c r="B714" s="30"/>
      <c r="C714" s="24"/>
      <c r="D714" s="24"/>
      <c r="E714" s="24"/>
      <c r="F714" s="24" t="str">
        <f t="array" ref="F714">IFERROR(INDEX(COA!$C$5:$C$59,MATCH(JURNAL!E714,COA!$B$5:$B$59,0)),"")</f>
        <v/>
      </c>
      <c r="G714" s="204"/>
      <c r="H714" s="204"/>
    </row>
    <row r="715" spans="2:8" ht="15.75" customHeight="1" x14ac:dyDescent="0.2">
      <c r="B715" s="30"/>
      <c r="C715" s="24"/>
      <c r="D715" s="24"/>
      <c r="E715" s="24"/>
      <c r="F715" s="24" t="str">
        <f t="array" ref="F715">IFERROR(INDEX(COA!$C$5:$C$59,MATCH(JURNAL!E715,COA!$B$5:$B$59,0)),"")</f>
        <v/>
      </c>
      <c r="G715" s="204"/>
      <c r="H715" s="204"/>
    </row>
    <row r="716" spans="2:8" ht="15.75" customHeight="1" x14ac:dyDescent="0.2">
      <c r="B716" s="30"/>
      <c r="C716" s="24"/>
      <c r="D716" s="24"/>
      <c r="E716" s="24"/>
      <c r="F716" s="24" t="str">
        <f t="array" ref="F716">IFERROR(INDEX(COA!$C$5:$C$59,MATCH(JURNAL!E716,COA!$B$5:$B$59,0)),"")</f>
        <v/>
      </c>
      <c r="G716" s="204"/>
      <c r="H716" s="204"/>
    </row>
    <row r="717" spans="2:8" ht="15.75" customHeight="1" x14ac:dyDescent="0.2">
      <c r="B717" s="30"/>
      <c r="C717" s="24"/>
      <c r="D717" s="24"/>
      <c r="E717" s="24"/>
      <c r="F717" s="24" t="str">
        <f t="array" ref="F717">IFERROR(INDEX(COA!$C$5:$C$59,MATCH(JURNAL!E717,COA!$B$5:$B$59,0)),"")</f>
        <v/>
      </c>
      <c r="G717" s="204"/>
      <c r="H717" s="204"/>
    </row>
    <row r="718" spans="2:8" ht="15.75" customHeight="1" x14ac:dyDescent="0.2">
      <c r="B718" s="30"/>
      <c r="C718" s="24"/>
      <c r="D718" s="24"/>
      <c r="E718" s="24"/>
      <c r="F718" s="24" t="str">
        <f t="array" ref="F718">IFERROR(INDEX(COA!$C$5:$C$59,MATCH(JURNAL!E718,COA!$B$5:$B$59,0)),"")</f>
        <v/>
      </c>
      <c r="G718" s="204"/>
      <c r="H718" s="204"/>
    </row>
    <row r="719" spans="2:8" ht="15.75" customHeight="1" x14ac:dyDescent="0.2">
      <c r="B719" s="30"/>
      <c r="C719" s="24"/>
      <c r="D719" s="24"/>
      <c r="E719" s="24"/>
      <c r="F719" s="24" t="str">
        <f t="array" ref="F719">IFERROR(INDEX(COA!$C$5:$C$59,MATCH(JURNAL!E719,COA!$B$5:$B$59,0)),"")</f>
        <v/>
      </c>
      <c r="G719" s="204"/>
      <c r="H719" s="204"/>
    </row>
    <row r="720" spans="2:8" ht="15.75" customHeight="1" x14ac:dyDescent="0.2">
      <c r="B720" s="30"/>
      <c r="C720" s="24"/>
      <c r="D720" s="24"/>
      <c r="E720" s="24"/>
      <c r="F720" s="24" t="str">
        <f t="array" ref="F720">IFERROR(INDEX(COA!$C$5:$C$59,MATCH(JURNAL!E720,COA!$B$5:$B$59,0)),"")</f>
        <v/>
      </c>
      <c r="G720" s="204"/>
      <c r="H720" s="204"/>
    </row>
    <row r="721" spans="2:8" ht="15.75" customHeight="1" x14ac:dyDescent="0.2">
      <c r="B721" s="30"/>
      <c r="C721" s="24"/>
      <c r="D721" s="24"/>
      <c r="E721" s="24"/>
      <c r="F721" s="24" t="str">
        <f t="array" ref="F721">IFERROR(INDEX(COA!$C$5:$C$59,MATCH(JURNAL!E721,COA!$B$5:$B$59,0)),"")</f>
        <v/>
      </c>
      <c r="G721" s="204"/>
      <c r="H721" s="204"/>
    </row>
    <row r="722" spans="2:8" ht="15.75" customHeight="1" x14ac:dyDescent="0.2">
      <c r="B722" s="30"/>
      <c r="C722" s="24"/>
      <c r="D722" s="24"/>
      <c r="E722" s="24"/>
      <c r="F722" s="24" t="str">
        <f t="array" ref="F722">IFERROR(INDEX(COA!$C$5:$C$59,MATCH(JURNAL!E722,COA!$B$5:$B$59,0)),"")</f>
        <v/>
      </c>
      <c r="G722" s="204"/>
      <c r="H722" s="204"/>
    </row>
    <row r="723" spans="2:8" ht="15.75" customHeight="1" x14ac:dyDescent="0.2">
      <c r="B723" s="30"/>
      <c r="C723" s="24"/>
      <c r="D723" s="24"/>
      <c r="E723" s="24"/>
      <c r="F723" s="24" t="str">
        <f t="array" ref="F723">IFERROR(INDEX(COA!$C$5:$C$59,MATCH(JURNAL!E723,COA!$B$5:$B$59,0)),"")</f>
        <v/>
      </c>
      <c r="G723" s="204"/>
      <c r="H723" s="204"/>
    </row>
    <row r="724" spans="2:8" ht="15.75" customHeight="1" x14ac:dyDescent="0.2">
      <c r="B724" s="30"/>
      <c r="C724" s="24"/>
      <c r="D724" s="24"/>
      <c r="E724" s="24"/>
      <c r="F724" s="24" t="str">
        <f t="array" ref="F724">IFERROR(INDEX(COA!$C$5:$C$59,MATCH(JURNAL!E724,COA!$B$5:$B$59,0)),"")</f>
        <v/>
      </c>
      <c r="G724" s="204"/>
      <c r="H724" s="204"/>
    </row>
    <row r="725" spans="2:8" ht="15.75" customHeight="1" x14ac:dyDescent="0.2">
      <c r="B725" s="30"/>
      <c r="C725" s="24"/>
      <c r="D725" s="24"/>
      <c r="E725" s="24"/>
      <c r="F725" s="24" t="str">
        <f t="array" ref="F725">IFERROR(INDEX(COA!$C$5:$C$59,MATCH(JURNAL!E725,COA!$B$5:$B$59,0)),"")</f>
        <v/>
      </c>
      <c r="G725" s="204"/>
      <c r="H725" s="204"/>
    </row>
    <row r="726" spans="2:8" ht="15.75" customHeight="1" x14ac:dyDescent="0.2">
      <c r="B726" s="30"/>
      <c r="C726" s="24"/>
      <c r="D726" s="24"/>
      <c r="E726" s="24"/>
      <c r="F726" s="24" t="str">
        <f t="array" ref="F726">IFERROR(INDEX(COA!$C$5:$C$59,MATCH(JURNAL!E726,COA!$B$5:$B$59,0)),"")</f>
        <v/>
      </c>
      <c r="G726" s="204"/>
      <c r="H726" s="204"/>
    </row>
    <row r="727" spans="2:8" ht="15.75" customHeight="1" x14ac:dyDescent="0.2">
      <c r="B727" s="30"/>
      <c r="C727" s="24"/>
      <c r="D727" s="24"/>
      <c r="E727" s="24"/>
      <c r="F727" s="24" t="str">
        <f t="array" ref="F727">IFERROR(INDEX(COA!$C$5:$C$59,MATCH(JURNAL!E727,COA!$B$5:$B$59,0)),"")</f>
        <v/>
      </c>
      <c r="G727" s="204"/>
      <c r="H727" s="204"/>
    </row>
    <row r="728" spans="2:8" ht="15.75" customHeight="1" x14ac:dyDescent="0.2">
      <c r="B728" s="30"/>
      <c r="C728" s="24"/>
      <c r="D728" s="24"/>
      <c r="E728" s="24"/>
      <c r="F728" s="24" t="str">
        <f t="array" ref="F728">IFERROR(INDEX(COA!$C$5:$C$59,MATCH(JURNAL!E728,COA!$B$5:$B$59,0)),"")</f>
        <v/>
      </c>
      <c r="G728" s="204"/>
      <c r="H728" s="204"/>
    </row>
    <row r="729" spans="2:8" ht="15.75" customHeight="1" x14ac:dyDescent="0.2">
      <c r="B729" s="30"/>
      <c r="C729" s="24"/>
      <c r="D729" s="24"/>
      <c r="E729" s="24"/>
      <c r="F729" s="24" t="str">
        <f t="array" ref="F729">IFERROR(INDEX(COA!$C$5:$C$59,MATCH(JURNAL!E729,COA!$B$5:$B$59,0)),"")</f>
        <v/>
      </c>
      <c r="G729" s="204"/>
      <c r="H729" s="204"/>
    </row>
    <row r="730" spans="2:8" ht="15.75" customHeight="1" x14ac:dyDescent="0.2">
      <c r="B730" s="30"/>
      <c r="C730" s="24"/>
      <c r="D730" s="24"/>
      <c r="E730" s="24"/>
      <c r="F730" s="24" t="str">
        <f t="array" ref="F730">IFERROR(INDEX(COA!$C$5:$C$59,MATCH(JURNAL!E730,COA!$B$5:$B$59,0)),"")</f>
        <v/>
      </c>
      <c r="G730" s="204"/>
      <c r="H730" s="204"/>
    </row>
    <row r="731" spans="2:8" ht="15.75" customHeight="1" x14ac:dyDescent="0.2">
      <c r="B731" s="30"/>
      <c r="C731" s="24"/>
      <c r="D731" s="24"/>
      <c r="E731" s="24"/>
      <c r="F731" s="24" t="str">
        <f t="array" ref="F731">IFERROR(INDEX(COA!$C$5:$C$59,MATCH(JURNAL!E731,COA!$B$5:$B$59,0)),"")</f>
        <v/>
      </c>
      <c r="G731" s="204"/>
      <c r="H731" s="204"/>
    </row>
    <row r="732" spans="2:8" ht="15.75" customHeight="1" x14ac:dyDescent="0.2">
      <c r="B732" s="30"/>
      <c r="C732" s="24"/>
      <c r="D732" s="24"/>
      <c r="E732" s="24"/>
      <c r="F732" s="24" t="str">
        <f t="array" ref="F732">IFERROR(INDEX(COA!$C$5:$C$59,MATCH(JURNAL!E732,COA!$B$5:$B$59,0)),"")</f>
        <v/>
      </c>
      <c r="G732" s="204"/>
      <c r="H732" s="204"/>
    </row>
    <row r="733" spans="2:8" ht="15.75" customHeight="1" x14ac:dyDescent="0.2">
      <c r="B733" s="30"/>
      <c r="C733" s="24"/>
      <c r="D733" s="24"/>
      <c r="E733" s="24"/>
      <c r="F733" s="24" t="str">
        <f t="array" ref="F733">IFERROR(INDEX(COA!$C$5:$C$59,MATCH(JURNAL!E733,COA!$B$5:$B$59,0)),"")</f>
        <v/>
      </c>
      <c r="G733" s="204"/>
      <c r="H733" s="204"/>
    </row>
    <row r="734" spans="2:8" ht="15.75" customHeight="1" x14ac:dyDescent="0.2">
      <c r="B734" s="30"/>
      <c r="C734" s="24"/>
      <c r="D734" s="24"/>
      <c r="E734" s="24"/>
      <c r="F734" s="24" t="str">
        <f t="array" ref="F734">IFERROR(INDEX(COA!$C$5:$C$59,MATCH(JURNAL!E734,COA!$B$5:$B$59,0)),"")</f>
        <v/>
      </c>
      <c r="G734" s="204"/>
      <c r="H734" s="204"/>
    </row>
    <row r="735" spans="2:8" ht="15.75" customHeight="1" x14ac:dyDescent="0.2">
      <c r="B735" s="30"/>
      <c r="C735" s="24"/>
      <c r="D735" s="24"/>
      <c r="E735" s="24"/>
      <c r="F735" s="24" t="str">
        <f t="array" ref="F735">IFERROR(INDEX(COA!$C$5:$C$59,MATCH(JURNAL!E735,COA!$B$5:$B$59,0)),"")</f>
        <v/>
      </c>
      <c r="G735" s="204"/>
      <c r="H735" s="204"/>
    </row>
    <row r="736" spans="2:8" ht="15.75" customHeight="1" x14ac:dyDescent="0.2">
      <c r="B736" s="30"/>
      <c r="C736" s="24"/>
      <c r="D736" s="24"/>
      <c r="E736" s="24"/>
      <c r="F736" s="24" t="str">
        <f t="array" ref="F736">IFERROR(INDEX(COA!$C$5:$C$59,MATCH(JURNAL!E736,COA!$B$5:$B$59,0)),"")</f>
        <v/>
      </c>
      <c r="G736" s="204"/>
      <c r="H736" s="204"/>
    </row>
    <row r="737" spans="2:8" ht="15.75" customHeight="1" x14ac:dyDescent="0.2">
      <c r="B737" s="30"/>
      <c r="C737" s="24"/>
      <c r="D737" s="24"/>
      <c r="E737" s="24"/>
      <c r="F737" s="24" t="str">
        <f t="array" ref="F737">IFERROR(INDEX(COA!$C$5:$C$59,MATCH(JURNAL!E737,COA!$B$5:$B$59,0)),"")</f>
        <v/>
      </c>
      <c r="G737" s="204"/>
      <c r="H737" s="204"/>
    </row>
    <row r="738" spans="2:8" ht="15.75" customHeight="1" x14ac:dyDescent="0.2">
      <c r="B738" s="30"/>
      <c r="C738" s="24"/>
      <c r="D738" s="24"/>
      <c r="E738" s="24"/>
      <c r="F738" s="24" t="str">
        <f t="array" ref="F738">IFERROR(INDEX(COA!$C$5:$C$59,MATCH(JURNAL!E738,COA!$B$5:$B$59,0)),"")</f>
        <v/>
      </c>
      <c r="G738" s="204"/>
      <c r="H738" s="204"/>
    </row>
    <row r="739" spans="2:8" ht="15.75" customHeight="1" x14ac:dyDescent="0.2">
      <c r="B739" s="30"/>
      <c r="C739" s="24"/>
      <c r="D739" s="24"/>
      <c r="E739" s="24"/>
      <c r="F739" s="24" t="str">
        <f t="array" ref="F739">IFERROR(INDEX(COA!$C$5:$C$59,MATCH(JURNAL!E739,COA!$B$5:$B$59,0)),"")</f>
        <v/>
      </c>
      <c r="G739" s="204"/>
      <c r="H739" s="204"/>
    </row>
    <row r="740" spans="2:8" ht="15.75" customHeight="1" x14ac:dyDescent="0.2">
      <c r="B740" s="30"/>
      <c r="C740" s="24"/>
      <c r="D740" s="24"/>
      <c r="E740" s="24"/>
      <c r="F740" s="24" t="str">
        <f t="array" ref="F740">IFERROR(INDEX(COA!$C$5:$C$59,MATCH(JURNAL!E740,COA!$B$5:$B$59,0)),"")</f>
        <v/>
      </c>
      <c r="G740" s="204"/>
      <c r="H740" s="204"/>
    </row>
    <row r="741" spans="2:8" ht="15.75" customHeight="1" x14ac:dyDescent="0.2">
      <c r="B741" s="30"/>
      <c r="C741" s="24"/>
      <c r="D741" s="24"/>
      <c r="E741" s="24"/>
      <c r="F741" s="24" t="str">
        <f t="array" ref="F741">IFERROR(INDEX(COA!$C$5:$C$59,MATCH(JURNAL!E741,COA!$B$5:$B$59,0)),"")</f>
        <v/>
      </c>
      <c r="G741" s="204"/>
      <c r="H741" s="204"/>
    </row>
    <row r="742" spans="2:8" ht="15.75" customHeight="1" x14ac:dyDescent="0.2">
      <c r="B742" s="30"/>
      <c r="C742" s="24"/>
      <c r="D742" s="24"/>
      <c r="E742" s="24"/>
      <c r="F742" s="24" t="str">
        <f t="array" ref="F742">IFERROR(INDEX(COA!$C$5:$C$59,MATCH(JURNAL!E742,COA!$B$5:$B$59,0)),"")</f>
        <v/>
      </c>
      <c r="G742" s="204"/>
      <c r="H742" s="204"/>
    </row>
    <row r="743" spans="2:8" ht="15.75" customHeight="1" x14ac:dyDescent="0.2">
      <c r="B743" s="30"/>
      <c r="C743" s="24"/>
      <c r="D743" s="24"/>
      <c r="E743" s="24"/>
      <c r="F743" s="24" t="str">
        <f t="array" ref="F743">IFERROR(INDEX(COA!$C$5:$C$59,MATCH(JURNAL!E743,COA!$B$5:$B$59,0)),"")</f>
        <v/>
      </c>
      <c r="G743" s="204"/>
      <c r="H743" s="204"/>
    </row>
    <row r="744" spans="2:8" ht="15.75" customHeight="1" x14ac:dyDescent="0.2">
      <c r="B744" s="30"/>
      <c r="C744" s="24"/>
      <c r="D744" s="24"/>
      <c r="E744" s="24"/>
      <c r="F744" s="24" t="str">
        <f t="array" ref="F744">IFERROR(INDEX(COA!$C$5:$C$59,MATCH(JURNAL!E744,COA!$B$5:$B$59,0)),"")</f>
        <v/>
      </c>
      <c r="G744" s="204"/>
      <c r="H744" s="204"/>
    </row>
    <row r="745" spans="2:8" ht="15.75" customHeight="1" x14ac:dyDescent="0.2">
      <c r="B745" s="30"/>
      <c r="C745" s="24"/>
      <c r="D745" s="24"/>
      <c r="E745" s="24"/>
      <c r="F745" s="24" t="str">
        <f t="array" ref="F745">IFERROR(INDEX(COA!$C$5:$C$59,MATCH(JURNAL!E745,COA!$B$5:$B$59,0)),"")</f>
        <v/>
      </c>
      <c r="G745" s="204"/>
      <c r="H745" s="204"/>
    </row>
    <row r="746" spans="2:8" ht="15.75" customHeight="1" x14ac:dyDescent="0.2">
      <c r="B746" s="30"/>
      <c r="C746" s="24"/>
      <c r="D746" s="24"/>
      <c r="E746" s="24"/>
      <c r="F746" s="24" t="str">
        <f t="array" ref="F746">IFERROR(INDEX(COA!$C$5:$C$59,MATCH(JURNAL!E746,COA!$B$5:$B$59,0)),"")</f>
        <v/>
      </c>
      <c r="G746" s="204"/>
      <c r="H746" s="204"/>
    </row>
    <row r="747" spans="2:8" ht="15.75" customHeight="1" x14ac:dyDescent="0.2">
      <c r="B747" s="30"/>
      <c r="C747" s="24"/>
      <c r="D747" s="24"/>
      <c r="E747" s="24"/>
      <c r="F747" s="24" t="str">
        <f t="array" ref="F747">IFERROR(INDEX(COA!$C$5:$C$59,MATCH(JURNAL!E747,COA!$B$5:$B$59,0)),"")</f>
        <v/>
      </c>
      <c r="G747" s="204"/>
      <c r="H747" s="204"/>
    </row>
    <row r="748" spans="2:8" ht="15.75" customHeight="1" x14ac:dyDescent="0.2">
      <c r="B748" s="30"/>
      <c r="C748" s="24"/>
      <c r="D748" s="24"/>
      <c r="E748" s="24"/>
      <c r="F748" s="24" t="str">
        <f t="array" ref="F748">IFERROR(INDEX(COA!$C$5:$C$59,MATCH(JURNAL!E748,COA!$B$5:$B$59,0)),"")</f>
        <v/>
      </c>
      <c r="G748" s="204"/>
      <c r="H748" s="204"/>
    </row>
    <row r="749" spans="2:8" ht="15.75" customHeight="1" x14ac:dyDescent="0.2">
      <c r="B749" s="30"/>
      <c r="C749" s="24"/>
      <c r="D749" s="24"/>
      <c r="E749" s="24"/>
      <c r="F749" s="24" t="str">
        <f t="array" ref="F749">IFERROR(INDEX(COA!$C$5:$C$59,MATCH(JURNAL!E749,COA!$B$5:$B$59,0)),"")</f>
        <v/>
      </c>
      <c r="G749" s="204"/>
      <c r="H749" s="204"/>
    </row>
    <row r="750" spans="2:8" ht="15.75" customHeight="1" x14ac:dyDescent="0.2">
      <c r="B750" s="30"/>
      <c r="C750" s="24"/>
      <c r="D750" s="24"/>
      <c r="E750" s="24"/>
      <c r="F750" s="24" t="str">
        <f t="array" ref="F750">IFERROR(INDEX(COA!$C$5:$C$59,MATCH(JURNAL!E750,COA!$B$5:$B$59,0)),"")</f>
        <v/>
      </c>
      <c r="G750" s="204"/>
      <c r="H750" s="204"/>
    </row>
    <row r="751" spans="2:8" ht="15.75" customHeight="1" x14ac:dyDescent="0.2">
      <c r="B751" s="30"/>
      <c r="C751" s="24"/>
      <c r="D751" s="24"/>
      <c r="E751" s="24"/>
      <c r="F751" s="24" t="str">
        <f t="array" ref="F751">IFERROR(INDEX(COA!$C$5:$C$59,MATCH(JURNAL!E751,COA!$B$5:$B$59,0)),"")</f>
        <v/>
      </c>
      <c r="G751" s="204"/>
      <c r="H751" s="204"/>
    </row>
    <row r="752" spans="2:8" ht="15.75" customHeight="1" x14ac:dyDescent="0.2">
      <c r="B752" s="30"/>
      <c r="C752" s="24"/>
      <c r="D752" s="24"/>
      <c r="E752" s="24"/>
      <c r="F752" s="24" t="str">
        <f t="array" ref="F752">IFERROR(INDEX(COA!$C$5:$C$59,MATCH(JURNAL!E752,COA!$B$5:$B$59,0)),"")</f>
        <v/>
      </c>
      <c r="G752" s="204"/>
      <c r="H752" s="204"/>
    </row>
    <row r="753" spans="2:8" ht="15.75" customHeight="1" x14ac:dyDescent="0.2">
      <c r="B753" s="30"/>
      <c r="C753" s="24"/>
      <c r="D753" s="24"/>
      <c r="E753" s="24"/>
      <c r="F753" s="24" t="str">
        <f t="array" ref="F753">IFERROR(INDEX(COA!$C$5:$C$59,MATCH(JURNAL!E753,COA!$B$5:$B$59,0)),"")</f>
        <v/>
      </c>
      <c r="G753" s="204"/>
      <c r="H753" s="204"/>
    </row>
    <row r="754" spans="2:8" ht="15.75" customHeight="1" x14ac:dyDescent="0.2">
      <c r="B754" s="30"/>
      <c r="C754" s="24"/>
      <c r="D754" s="24"/>
      <c r="E754" s="24"/>
      <c r="F754" s="24" t="str">
        <f t="array" ref="F754">IFERROR(INDEX(COA!$C$5:$C$59,MATCH(JURNAL!E754,COA!$B$5:$B$59,0)),"")</f>
        <v/>
      </c>
      <c r="G754" s="204"/>
      <c r="H754" s="204"/>
    </row>
    <row r="755" spans="2:8" ht="15.75" customHeight="1" x14ac:dyDescent="0.2">
      <c r="B755" s="30"/>
      <c r="C755" s="24"/>
      <c r="D755" s="24"/>
      <c r="E755" s="24"/>
      <c r="F755" s="24" t="str">
        <f t="array" ref="F755">IFERROR(INDEX(COA!$C$5:$C$59,MATCH(JURNAL!E755,COA!$B$5:$B$59,0)),"")</f>
        <v/>
      </c>
      <c r="G755" s="204"/>
      <c r="H755" s="204"/>
    </row>
    <row r="756" spans="2:8" ht="15.75" customHeight="1" x14ac:dyDescent="0.2">
      <c r="B756" s="30"/>
      <c r="C756" s="24"/>
      <c r="D756" s="24"/>
      <c r="E756" s="24"/>
      <c r="F756" s="24" t="str">
        <f t="array" ref="F756">IFERROR(INDEX(COA!$C$5:$C$59,MATCH(JURNAL!E756,COA!$B$5:$B$59,0)),"")</f>
        <v/>
      </c>
      <c r="G756" s="204"/>
      <c r="H756" s="204"/>
    </row>
    <row r="757" spans="2:8" ht="15.75" customHeight="1" x14ac:dyDescent="0.2">
      <c r="B757" s="30"/>
      <c r="C757" s="24"/>
      <c r="D757" s="24"/>
      <c r="E757" s="24"/>
      <c r="F757" s="24" t="str">
        <f t="array" ref="F757">IFERROR(INDEX(COA!$C$5:$C$59,MATCH(JURNAL!E757,COA!$B$5:$B$59,0)),"")</f>
        <v/>
      </c>
      <c r="G757" s="204"/>
      <c r="H757" s="204"/>
    </row>
    <row r="758" spans="2:8" ht="15.75" customHeight="1" x14ac:dyDescent="0.2">
      <c r="B758" s="30"/>
      <c r="C758" s="24"/>
      <c r="D758" s="24"/>
      <c r="E758" s="24"/>
      <c r="F758" s="24" t="str">
        <f t="array" ref="F758">IFERROR(INDEX(COA!$C$5:$C$59,MATCH(JURNAL!E758,COA!$B$5:$B$59,0)),"")</f>
        <v/>
      </c>
      <c r="G758" s="204"/>
      <c r="H758" s="204"/>
    </row>
    <row r="759" spans="2:8" ht="15.75" customHeight="1" x14ac:dyDescent="0.2">
      <c r="B759" s="30"/>
      <c r="C759" s="24"/>
      <c r="D759" s="24"/>
      <c r="E759" s="24"/>
      <c r="F759" s="24" t="str">
        <f t="array" ref="F759">IFERROR(INDEX(COA!$C$5:$C$59,MATCH(JURNAL!E759,COA!$B$5:$B$59,0)),"")</f>
        <v/>
      </c>
      <c r="G759" s="204"/>
      <c r="H759" s="204"/>
    </row>
    <row r="760" spans="2:8" ht="15.75" customHeight="1" x14ac:dyDescent="0.2">
      <c r="B760" s="30"/>
      <c r="C760" s="24"/>
      <c r="D760" s="24"/>
      <c r="E760" s="24"/>
      <c r="F760" s="24" t="str">
        <f t="array" ref="F760">IFERROR(INDEX(COA!$C$5:$C$59,MATCH(JURNAL!E760,COA!$B$5:$B$59,0)),"")</f>
        <v/>
      </c>
      <c r="G760" s="204"/>
      <c r="H760" s="204"/>
    </row>
    <row r="761" spans="2:8" ht="15.75" customHeight="1" x14ac:dyDescent="0.2">
      <c r="B761" s="30"/>
      <c r="C761" s="24"/>
      <c r="D761" s="24"/>
      <c r="E761" s="24"/>
      <c r="F761" s="24" t="str">
        <f t="array" ref="F761">IFERROR(INDEX(COA!$C$5:$C$59,MATCH(JURNAL!E761,COA!$B$5:$B$59,0)),"")</f>
        <v/>
      </c>
      <c r="G761" s="204"/>
      <c r="H761" s="204"/>
    </row>
    <row r="762" spans="2:8" ht="15.75" customHeight="1" x14ac:dyDescent="0.2">
      <c r="B762" s="30"/>
      <c r="C762" s="24"/>
      <c r="D762" s="24"/>
      <c r="E762" s="24"/>
      <c r="F762" s="24" t="str">
        <f t="array" ref="F762">IFERROR(INDEX(COA!$C$5:$C$59,MATCH(JURNAL!E762,COA!$B$5:$B$59,0)),"")</f>
        <v/>
      </c>
      <c r="G762" s="204"/>
      <c r="H762" s="204"/>
    </row>
    <row r="763" spans="2:8" ht="15.75" customHeight="1" x14ac:dyDescent="0.2">
      <c r="B763" s="30"/>
      <c r="C763" s="24"/>
      <c r="D763" s="24"/>
      <c r="E763" s="24"/>
      <c r="F763" s="24" t="str">
        <f t="array" ref="F763">IFERROR(INDEX(COA!$C$5:$C$59,MATCH(JURNAL!E763,COA!$B$5:$B$59,0)),"")</f>
        <v/>
      </c>
      <c r="G763" s="204"/>
      <c r="H763" s="204"/>
    </row>
    <row r="764" spans="2:8" ht="15.75" customHeight="1" x14ac:dyDescent="0.2">
      <c r="B764" s="30"/>
      <c r="C764" s="24"/>
      <c r="D764" s="24"/>
      <c r="E764" s="24"/>
      <c r="F764" s="24" t="str">
        <f t="array" ref="F764">IFERROR(INDEX(COA!$C$5:$C$59,MATCH(JURNAL!E764,COA!$B$5:$B$59,0)),"")</f>
        <v/>
      </c>
      <c r="G764" s="204"/>
      <c r="H764" s="204"/>
    </row>
    <row r="765" spans="2:8" ht="15.75" customHeight="1" x14ac:dyDescent="0.2">
      <c r="B765" s="30"/>
      <c r="C765" s="24"/>
      <c r="D765" s="24"/>
      <c r="E765" s="24"/>
      <c r="F765" s="24" t="str">
        <f t="array" ref="F765">IFERROR(INDEX(COA!$C$5:$C$59,MATCH(JURNAL!E765,COA!$B$5:$B$59,0)),"")</f>
        <v/>
      </c>
      <c r="G765" s="204"/>
      <c r="H765" s="204"/>
    </row>
    <row r="766" spans="2:8" ht="15.75" customHeight="1" x14ac:dyDescent="0.2">
      <c r="B766" s="30"/>
      <c r="C766" s="24"/>
      <c r="D766" s="24"/>
      <c r="E766" s="24"/>
      <c r="F766" s="24" t="str">
        <f t="array" ref="F766">IFERROR(INDEX(COA!$C$5:$C$59,MATCH(JURNAL!E766,COA!$B$5:$B$59,0)),"")</f>
        <v/>
      </c>
      <c r="G766" s="204"/>
      <c r="H766" s="204"/>
    </row>
    <row r="767" spans="2:8" ht="15.75" customHeight="1" x14ac:dyDescent="0.2">
      <c r="B767" s="30"/>
      <c r="C767" s="24"/>
      <c r="D767" s="24"/>
      <c r="E767" s="24"/>
      <c r="F767" s="24" t="str">
        <f t="array" ref="F767">IFERROR(INDEX(COA!$C$5:$C$59,MATCH(JURNAL!E767,COA!$B$5:$B$59,0)),"")</f>
        <v/>
      </c>
      <c r="G767" s="204"/>
      <c r="H767" s="204"/>
    </row>
    <row r="768" spans="2:8" ht="15.75" customHeight="1" x14ac:dyDescent="0.2">
      <c r="B768" s="30"/>
      <c r="C768" s="24"/>
      <c r="D768" s="24"/>
      <c r="E768" s="24"/>
      <c r="F768" s="24" t="str">
        <f t="array" ref="F768">IFERROR(INDEX(COA!$C$5:$C$59,MATCH(JURNAL!E768,COA!$B$5:$B$59,0)),"")</f>
        <v/>
      </c>
      <c r="G768" s="204"/>
      <c r="H768" s="204"/>
    </row>
    <row r="769" spans="2:8" ht="15.75" customHeight="1" x14ac:dyDescent="0.2">
      <c r="B769" s="30"/>
      <c r="C769" s="24"/>
      <c r="D769" s="24"/>
      <c r="E769" s="24"/>
      <c r="F769" s="24" t="str">
        <f t="array" ref="F769">IFERROR(INDEX(COA!$C$5:$C$59,MATCH(JURNAL!E769,COA!$B$5:$B$59,0)),"")</f>
        <v/>
      </c>
      <c r="G769" s="204"/>
      <c r="H769" s="204"/>
    </row>
    <row r="770" spans="2:8" ht="15.75" customHeight="1" x14ac:dyDescent="0.2">
      <c r="B770" s="30"/>
      <c r="C770" s="24"/>
      <c r="D770" s="24"/>
      <c r="E770" s="24"/>
      <c r="F770" s="24" t="str">
        <f t="array" ref="F770">IFERROR(INDEX(COA!$C$5:$C$59,MATCH(JURNAL!E770,COA!$B$5:$B$59,0)),"")</f>
        <v/>
      </c>
      <c r="G770" s="204"/>
      <c r="H770" s="204"/>
    </row>
    <row r="771" spans="2:8" ht="15.75" customHeight="1" x14ac:dyDescent="0.2">
      <c r="B771" s="30"/>
      <c r="C771" s="24"/>
      <c r="D771" s="24"/>
      <c r="E771" s="24"/>
      <c r="F771" s="24" t="str">
        <f t="array" ref="F771">IFERROR(INDEX(COA!$C$5:$C$59,MATCH(JURNAL!E771,COA!$B$5:$B$59,0)),"")</f>
        <v/>
      </c>
      <c r="G771" s="204"/>
      <c r="H771" s="204"/>
    </row>
    <row r="772" spans="2:8" ht="15.75" customHeight="1" x14ac:dyDescent="0.2">
      <c r="B772" s="30"/>
      <c r="C772" s="24"/>
      <c r="D772" s="24"/>
      <c r="E772" s="24"/>
      <c r="F772" s="24" t="str">
        <f t="array" ref="F772">IFERROR(INDEX(COA!$C$5:$C$59,MATCH(JURNAL!E772,COA!$B$5:$B$59,0)),"")</f>
        <v/>
      </c>
      <c r="G772" s="204"/>
      <c r="H772" s="204"/>
    </row>
    <row r="773" spans="2:8" ht="15.75" customHeight="1" x14ac:dyDescent="0.2">
      <c r="B773" s="30"/>
      <c r="C773" s="24"/>
      <c r="D773" s="24"/>
      <c r="E773" s="24"/>
      <c r="F773" s="24" t="str">
        <f t="array" ref="F773">IFERROR(INDEX(COA!$C$5:$C$59,MATCH(JURNAL!E773,COA!$B$5:$B$59,0)),"")</f>
        <v/>
      </c>
      <c r="G773" s="204"/>
      <c r="H773" s="204"/>
    </row>
    <row r="774" spans="2:8" ht="15.75" customHeight="1" x14ac:dyDescent="0.2">
      <c r="B774" s="30"/>
      <c r="C774" s="24"/>
      <c r="D774" s="24"/>
      <c r="E774" s="24"/>
      <c r="F774" s="24" t="str">
        <f t="array" ref="F774">IFERROR(INDEX(COA!$C$5:$C$59,MATCH(JURNAL!E774,COA!$B$5:$B$59,0)),"")</f>
        <v/>
      </c>
      <c r="G774" s="204"/>
      <c r="H774" s="204"/>
    </row>
    <row r="775" spans="2:8" ht="15.75" customHeight="1" x14ac:dyDescent="0.2">
      <c r="B775" s="30"/>
      <c r="C775" s="24"/>
      <c r="D775" s="24"/>
      <c r="E775" s="24"/>
      <c r="F775" s="24" t="str">
        <f t="array" ref="F775">IFERROR(INDEX(COA!$C$5:$C$59,MATCH(JURNAL!E775,COA!$B$5:$B$59,0)),"")</f>
        <v/>
      </c>
      <c r="G775" s="204"/>
      <c r="H775" s="204"/>
    </row>
    <row r="776" spans="2:8" ht="15.75" customHeight="1" x14ac:dyDescent="0.2">
      <c r="B776" s="30"/>
      <c r="C776" s="24"/>
      <c r="D776" s="24"/>
      <c r="E776" s="24"/>
      <c r="F776" s="24" t="str">
        <f t="array" ref="F776">IFERROR(INDEX(COA!$C$5:$C$59,MATCH(JURNAL!E776,COA!$B$5:$B$59,0)),"")</f>
        <v/>
      </c>
      <c r="G776" s="204"/>
      <c r="H776" s="204"/>
    </row>
    <row r="777" spans="2:8" ht="15.75" customHeight="1" x14ac:dyDescent="0.2">
      <c r="B777" s="30"/>
      <c r="C777" s="24"/>
      <c r="D777" s="24"/>
      <c r="E777" s="24"/>
      <c r="F777" s="24" t="str">
        <f t="array" ref="F777">IFERROR(INDEX(COA!$C$5:$C$59,MATCH(JURNAL!E777,COA!$B$5:$B$59,0)),"")</f>
        <v/>
      </c>
      <c r="G777" s="204"/>
      <c r="H777" s="204"/>
    </row>
    <row r="778" spans="2:8" ht="15.75" customHeight="1" x14ac:dyDescent="0.2">
      <c r="B778" s="30"/>
      <c r="C778" s="24"/>
      <c r="D778" s="24"/>
      <c r="E778" s="24"/>
      <c r="F778" s="24" t="str">
        <f t="array" ref="F778">IFERROR(INDEX(COA!$C$5:$C$59,MATCH(JURNAL!E778,COA!$B$5:$B$59,0)),"")</f>
        <v/>
      </c>
      <c r="G778" s="204"/>
      <c r="H778" s="204"/>
    </row>
    <row r="779" spans="2:8" ht="15.75" customHeight="1" x14ac:dyDescent="0.2">
      <c r="B779" s="30"/>
      <c r="C779" s="24"/>
      <c r="D779" s="24"/>
      <c r="E779" s="24"/>
      <c r="F779" s="24" t="str">
        <f t="array" ref="F779">IFERROR(INDEX(COA!$C$5:$C$59,MATCH(JURNAL!E779,COA!$B$5:$B$59,0)),"")</f>
        <v/>
      </c>
      <c r="G779" s="204"/>
      <c r="H779" s="204"/>
    </row>
    <row r="780" spans="2:8" ht="15.75" customHeight="1" x14ac:dyDescent="0.2">
      <c r="B780" s="30"/>
      <c r="C780" s="24"/>
      <c r="D780" s="24"/>
      <c r="E780" s="24"/>
      <c r="F780" s="24" t="str">
        <f t="array" ref="F780">IFERROR(INDEX(COA!$C$5:$C$59,MATCH(JURNAL!E780,COA!$B$5:$B$59,0)),"")</f>
        <v/>
      </c>
      <c r="G780" s="204"/>
      <c r="H780" s="204"/>
    </row>
    <row r="781" spans="2:8" ht="15.75" customHeight="1" x14ac:dyDescent="0.2">
      <c r="B781" s="30"/>
      <c r="C781" s="24"/>
      <c r="D781" s="24"/>
      <c r="E781" s="24"/>
      <c r="F781" s="24" t="str">
        <f t="array" ref="F781">IFERROR(INDEX(COA!$C$5:$C$59,MATCH(JURNAL!E781,COA!$B$5:$B$59,0)),"")</f>
        <v/>
      </c>
      <c r="G781" s="204"/>
      <c r="H781" s="204"/>
    </row>
    <row r="782" spans="2:8" ht="15.75" customHeight="1" x14ac:dyDescent="0.2">
      <c r="B782" s="30"/>
      <c r="C782" s="24"/>
      <c r="D782" s="24"/>
      <c r="E782" s="24"/>
      <c r="F782" s="24" t="str">
        <f t="array" ref="F782">IFERROR(INDEX(COA!$C$5:$C$59,MATCH(JURNAL!E782,COA!$B$5:$B$59,0)),"")</f>
        <v/>
      </c>
      <c r="G782" s="204"/>
      <c r="H782" s="204"/>
    </row>
    <row r="783" spans="2:8" ht="15.75" customHeight="1" x14ac:dyDescent="0.2">
      <c r="B783" s="30"/>
      <c r="C783" s="24"/>
      <c r="D783" s="24"/>
      <c r="E783" s="24"/>
      <c r="F783" s="24" t="str">
        <f t="array" ref="F783">IFERROR(INDEX(COA!$C$5:$C$59,MATCH(JURNAL!E783,COA!$B$5:$B$59,0)),"")</f>
        <v/>
      </c>
      <c r="G783" s="204"/>
      <c r="H783" s="204"/>
    </row>
    <row r="784" spans="2:8" ht="15.75" customHeight="1" x14ac:dyDescent="0.2">
      <c r="B784" s="30"/>
      <c r="C784" s="24"/>
      <c r="D784" s="24"/>
      <c r="E784" s="24"/>
      <c r="F784" s="24" t="str">
        <f t="array" ref="F784">IFERROR(INDEX(COA!$C$5:$C$59,MATCH(JURNAL!E784,COA!$B$5:$B$59,0)),"")</f>
        <v/>
      </c>
      <c r="G784" s="204"/>
      <c r="H784" s="204"/>
    </row>
    <row r="785" spans="2:8" ht="15.75" customHeight="1" x14ac:dyDescent="0.2">
      <c r="B785" s="30"/>
      <c r="C785" s="24"/>
      <c r="D785" s="24"/>
      <c r="E785" s="24"/>
      <c r="F785" s="24" t="str">
        <f t="array" ref="F785">IFERROR(INDEX(COA!$C$5:$C$59,MATCH(JURNAL!E785,COA!$B$5:$B$59,0)),"")</f>
        <v/>
      </c>
      <c r="G785" s="204"/>
      <c r="H785" s="204"/>
    </row>
    <row r="786" spans="2:8" ht="15.75" customHeight="1" x14ac:dyDescent="0.2">
      <c r="B786" s="30"/>
      <c r="C786" s="24"/>
      <c r="D786" s="24"/>
      <c r="E786" s="24"/>
      <c r="F786" s="24" t="str">
        <f t="array" ref="F786">IFERROR(INDEX(COA!$C$5:$C$59,MATCH(JURNAL!E786,COA!$B$5:$B$59,0)),"")</f>
        <v/>
      </c>
      <c r="G786" s="204"/>
      <c r="H786" s="204"/>
    </row>
    <row r="787" spans="2:8" ht="15.75" customHeight="1" x14ac:dyDescent="0.2">
      <c r="B787" s="30"/>
      <c r="C787" s="24"/>
      <c r="D787" s="24"/>
      <c r="E787" s="24"/>
      <c r="F787" s="24" t="str">
        <f t="array" ref="F787">IFERROR(INDEX(COA!$C$5:$C$59,MATCH(JURNAL!E787,COA!$B$5:$B$59,0)),"")</f>
        <v/>
      </c>
      <c r="G787" s="204"/>
      <c r="H787" s="204"/>
    </row>
    <row r="788" spans="2:8" ht="15.75" customHeight="1" x14ac:dyDescent="0.2">
      <c r="B788" s="30"/>
      <c r="C788" s="24"/>
      <c r="D788" s="24"/>
      <c r="E788" s="24"/>
      <c r="F788" s="24" t="str">
        <f t="array" ref="F788">IFERROR(INDEX(COA!$C$5:$C$59,MATCH(JURNAL!E788,COA!$B$5:$B$59,0)),"")</f>
        <v/>
      </c>
      <c r="G788" s="204"/>
      <c r="H788" s="204"/>
    </row>
    <row r="789" spans="2:8" ht="15.75" customHeight="1" x14ac:dyDescent="0.2">
      <c r="B789" s="30"/>
      <c r="C789" s="24"/>
      <c r="D789" s="24"/>
      <c r="E789" s="24"/>
      <c r="F789" s="24" t="str">
        <f t="array" ref="F789">IFERROR(INDEX(COA!$C$5:$C$59,MATCH(JURNAL!E789,COA!$B$5:$B$59,0)),"")</f>
        <v/>
      </c>
      <c r="G789" s="204"/>
      <c r="H789" s="204"/>
    </row>
    <row r="790" spans="2:8" ht="15.75" customHeight="1" x14ac:dyDescent="0.2">
      <c r="B790" s="30"/>
      <c r="C790" s="24"/>
      <c r="D790" s="24"/>
      <c r="E790" s="24"/>
      <c r="F790" s="24" t="str">
        <f t="array" ref="F790">IFERROR(INDEX(COA!$C$5:$C$59,MATCH(JURNAL!E790,COA!$B$5:$B$59,0)),"")</f>
        <v/>
      </c>
      <c r="G790" s="204"/>
      <c r="H790" s="204"/>
    </row>
    <row r="791" spans="2:8" ht="15.75" customHeight="1" x14ac:dyDescent="0.2">
      <c r="B791" s="30"/>
      <c r="C791" s="24"/>
      <c r="D791" s="24"/>
      <c r="E791" s="24"/>
      <c r="F791" s="24" t="str">
        <f t="array" ref="F791">IFERROR(INDEX(COA!$C$5:$C$59,MATCH(JURNAL!E791,COA!$B$5:$B$59,0)),"")</f>
        <v/>
      </c>
      <c r="G791" s="204"/>
      <c r="H791" s="204"/>
    </row>
    <row r="792" spans="2:8" ht="15.75" customHeight="1" x14ac:dyDescent="0.2">
      <c r="B792" s="30"/>
      <c r="C792" s="24"/>
      <c r="D792" s="24"/>
      <c r="E792" s="24"/>
      <c r="F792" s="24" t="str">
        <f t="array" ref="F792">IFERROR(INDEX(COA!$C$5:$C$59,MATCH(JURNAL!E792,COA!$B$5:$B$59,0)),"")</f>
        <v/>
      </c>
      <c r="G792" s="204"/>
      <c r="H792" s="204"/>
    </row>
    <row r="793" spans="2:8" ht="15.75" customHeight="1" x14ac:dyDescent="0.2">
      <c r="B793" s="30"/>
      <c r="C793" s="24"/>
      <c r="D793" s="24"/>
      <c r="E793" s="24"/>
      <c r="F793" s="24" t="str">
        <f t="array" ref="F793">IFERROR(INDEX(COA!$C$5:$C$59,MATCH(JURNAL!E793,COA!$B$5:$B$59,0)),"")</f>
        <v/>
      </c>
      <c r="G793" s="204"/>
      <c r="H793" s="204"/>
    </row>
    <row r="794" spans="2:8" ht="15.75" customHeight="1" x14ac:dyDescent="0.2">
      <c r="B794" s="30"/>
      <c r="C794" s="24"/>
      <c r="D794" s="24"/>
      <c r="E794" s="24"/>
      <c r="F794" s="24" t="str">
        <f t="array" ref="F794">IFERROR(INDEX(COA!$C$5:$C$59,MATCH(JURNAL!E794,COA!$B$5:$B$59,0)),"")</f>
        <v/>
      </c>
      <c r="G794" s="204"/>
      <c r="H794" s="204"/>
    </row>
    <row r="795" spans="2:8" ht="15.75" customHeight="1" x14ac:dyDescent="0.2">
      <c r="B795" s="30"/>
      <c r="C795" s="24"/>
      <c r="D795" s="24"/>
      <c r="E795" s="24"/>
      <c r="F795" s="24" t="str">
        <f t="array" ref="F795">IFERROR(INDEX(COA!$C$5:$C$59,MATCH(JURNAL!E795,COA!$B$5:$B$59,0)),"")</f>
        <v/>
      </c>
      <c r="G795" s="204"/>
      <c r="H795" s="204"/>
    </row>
    <row r="796" spans="2:8" ht="15.75" customHeight="1" x14ac:dyDescent="0.2">
      <c r="B796" s="30"/>
      <c r="C796" s="24"/>
      <c r="D796" s="24"/>
      <c r="E796" s="24"/>
      <c r="F796" s="24" t="str">
        <f t="array" ref="F796">IFERROR(INDEX(COA!$C$5:$C$59,MATCH(JURNAL!E796,COA!$B$5:$B$59,0)),"")</f>
        <v/>
      </c>
      <c r="G796" s="204"/>
      <c r="H796" s="204"/>
    </row>
    <row r="797" spans="2:8" ht="15.75" customHeight="1" x14ac:dyDescent="0.2">
      <c r="B797" s="30"/>
      <c r="C797" s="24"/>
      <c r="D797" s="24"/>
      <c r="E797" s="24"/>
      <c r="F797" s="24" t="str">
        <f t="array" ref="F797">IFERROR(INDEX(COA!$C$5:$C$59,MATCH(JURNAL!E797,COA!$B$5:$B$59,0)),"")</f>
        <v/>
      </c>
      <c r="G797" s="204"/>
      <c r="H797" s="204"/>
    </row>
    <row r="798" spans="2:8" ht="15.75" customHeight="1" x14ac:dyDescent="0.2">
      <c r="B798" s="30"/>
      <c r="C798" s="24"/>
      <c r="D798" s="24"/>
      <c r="E798" s="24"/>
      <c r="F798" s="24" t="str">
        <f t="array" ref="F798">IFERROR(INDEX(COA!$C$5:$C$59,MATCH(JURNAL!E798,COA!$B$5:$B$59,0)),"")</f>
        <v/>
      </c>
      <c r="G798" s="204"/>
      <c r="H798" s="204"/>
    </row>
    <row r="799" spans="2:8" ht="15.75" customHeight="1" x14ac:dyDescent="0.2">
      <c r="B799" s="30"/>
      <c r="C799" s="24"/>
      <c r="D799" s="24"/>
      <c r="E799" s="24"/>
      <c r="F799" s="24" t="str">
        <f t="array" ref="F799">IFERROR(INDEX(COA!$C$5:$C$59,MATCH(JURNAL!E799,COA!$B$5:$B$59,0)),"")</f>
        <v/>
      </c>
      <c r="G799" s="204"/>
      <c r="H799" s="204"/>
    </row>
    <row r="800" spans="2:8" ht="15.75" customHeight="1" x14ac:dyDescent="0.2">
      <c r="B800" s="30"/>
      <c r="C800" s="24"/>
      <c r="D800" s="24"/>
      <c r="E800" s="24"/>
      <c r="F800" s="24" t="str">
        <f t="array" ref="F800">IFERROR(INDEX(COA!$C$5:$C$59,MATCH(JURNAL!E800,COA!$B$5:$B$59,0)),"")</f>
        <v/>
      </c>
      <c r="G800" s="204"/>
      <c r="H800" s="204"/>
    </row>
    <row r="801" spans="2:8" ht="15.75" customHeight="1" x14ac:dyDescent="0.2">
      <c r="B801" s="30"/>
      <c r="C801" s="24"/>
      <c r="D801" s="24"/>
      <c r="E801" s="24"/>
      <c r="F801" s="24" t="str">
        <f t="array" ref="F801">IFERROR(INDEX(COA!$C$5:$C$59,MATCH(JURNAL!E801,COA!$B$5:$B$59,0)),"")</f>
        <v/>
      </c>
      <c r="G801" s="204"/>
      <c r="H801" s="204"/>
    </row>
    <row r="802" spans="2:8" ht="15.75" customHeight="1" x14ac:dyDescent="0.2">
      <c r="B802" s="30"/>
      <c r="C802" s="24"/>
      <c r="D802" s="24"/>
      <c r="E802" s="24"/>
      <c r="F802" s="24" t="str">
        <f t="array" ref="F802">IFERROR(INDEX(COA!$C$5:$C$59,MATCH(JURNAL!E802,COA!$B$5:$B$59,0)),"")</f>
        <v/>
      </c>
      <c r="G802" s="204"/>
      <c r="H802" s="204"/>
    </row>
    <row r="803" spans="2:8" ht="15.75" customHeight="1" x14ac:dyDescent="0.2">
      <c r="B803" s="30"/>
      <c r="C803" s="24"/>
      <c r="D803" s="24"/>
      <c r="E803" s="24"/>
      <c r="F803" s="24" t="str">
        <f t="array" ref="F803">IFERROR(INDEX(COA!$C$5:$C$59,MATCH(JURNAL!E803,COA!$B$5:$B$59,0)),"")</f>
        <v/>
      </c>
      <c r="G803" s="204"/>
      <c r="H803" s="204"/>
    </row>
    <row r="804" spans="2:8" ht="15.75" customHeight="1" x14ac:dyDescent="0.2">
      <c r="B804" s="30"/>
      <c r="C804" s="24"/>
      <c r="D804" s="24"/>
      <c r="E804" s="24"/>
      <c r="F804" s="24" t="str">
        <f t="array" ref="F804">IFERROR(INDEX(COA!$C$5:$C$59,MATCH(JURNAL!E804,COA!$B$5:$B$59,0)),"")</f>
        <v/>
      </c>
      <c r="G804" s="204"/>
      <c r="H804" s="204"/>
    </row>
    <row r="805" spans="2:8" ht="15.75" customHeight="1" x14ac:dyDescent="0.2">
      <c r="B805" s="30"/>
      <c r="C805" s="24"/>
      <c r="D805" s="24"/>
      <c r="E805" s="24"/>
      <c r="F805" s="24" t="str">
        <f t="array" ref="F805">IFERROR(INDEX(COA!$C$5:$C$59,MATCH(JURNAL!E805,COA!$B$5:$B$59,0)),"")</f>
        <v/>
      </c>
      <c r="G805" s="204"/>
      <c r="H805" s="204"/>
    </row>
    <row r="806" spans="2:8" ht="15.75" customHeight="1" x14ac:dyDescent="0.2">
      <c r="B806" s="30"/>
      <c r="C806" s="24"/>
      <c r="D806" s="24"/>
      <c r="E806" s="24"/>
      <c r="F806" s="24" t="str">
        <f t="array" ref="F806">IFERROR(INDEX(COA!$C$5:$C$59,MATCH(JURNAL!E806,COA!$B$5:$B$59,0)),"")</f>
        <v/>
      </c>
      <c r="G806" s="204"/>
      <c r="H806" s="204"/>
    </row>
    <row r="807" spans="2:8" ht="15.75" customHeight="1" x14ac:dyDescent="0.2">
      <c r="B807" s="30"/>
      <c r="C807" s="24"/>
      <c r="D807" s="24"/>
      <c r="E807" s="24"/>
      <c r="F807" s="24" t="str">
        <f t="array" ref="F807">IFERROR(INDEX(COA!$C$5:$C$59,MATCH(JURNAL!E807,COA!$B$5:$B$59,0)),"")</f>
        <v/>
      </c>
      <c r="G807" s="204"/>
      <c r="H807" s="204"/>
    </row>
    <row r="808" spans="2:8" ht="15.75" customHeight="1" x14ac:dyDescent="0.2">
      <c r="B808" s="30"/>
      <c r="C808" s="24"/>
      <c r="D808" s="24"/>
      <c r="E808" s="24"/>
      <c r="F808" s="24" t="str">
        <f t="array" ref="F808">IFERROR(INDEX(COA!$C$5:$C$59,MATCH(JURNAL!E808,COA!$B$5:$B$59,0)),"")</f>
        <v/>
      </c>
      <c r="G808" s="204"/>
      <c r="H808" s="204"/>
    </row>
    <row r="809" spans="2:8" ht="15.75" customHeight="1" x14ac:dyDescent="0.2">
      <c r="B809" s="30"/>
      <c r="C809" s="24"/>
      <c r="D809" s="24"/>
      <c r="E809" s="24"/>
      <c r="F809" s="24" t="str">
        <f t="array" ref="F809">IFERROR(INDEX(COA!$C$5:$C$59,MATCH(JURNAL!E809,COA!$B$5:$B$59,0)),"")</f>
        <v/>
      </c>
      <c r="G809" s="204"/>
      <c r="H809" s="204"/>
    </row>
    <row r="810" spans="2:8" ht="15.75" customHeight="1" x14ac:dyDescent="0.2">
      <c r="B810" s="30"/>
      <c r="C810" s="24"/>
      <c r="D810" s="24"/>
      <c r="E810" s="24"/>
      <c r="F810" s="24" t="str">
        <f t="array" ref="F810">IFERROR(INDEX(COA!$C$5:$C$59,MATCH(JURNAL!E810,COA!$B$5:$B$59,0)),"")</f>
        <v/>
      </c>
      <c r="G810" s="204"/>
      <c r="H810" s="204"/>
    </row>
    <row r="811" spans="2:8" ht="15.75" customHeight="1" x14ac:dyDescent="0.2">
      <c r="B811" s="30"/>
      <c r="C811" s="24"/>
      <c r="D811" s="24"/>
      <c r="E811" s="24"/>
      <c r="F811" s="24" t="str">
        <f t="array" ref="F811">IFERROR(INDEX(COA!$C$5:$C$59,MATCH(JURNAL!E811,COA!$B$5:$B$59,0)),"")</f>
        <v/>
      </c>
      <c r="G811" s="204"/>
      <c r="H811" s="204"/>
    </row>
    <row r="812" spans="2:8" ht="15.75" customHeight="1" x14ac:dyDescent="0.2">
      <c r="B812" s="30"/>
      <c r="C812" s="24"/>
      <c r="D812" s="24"/>
      <c r="E812" s="24"/>
      <c r="F812" s="24" t="str">
        <f t="array" ref="F812">IFERROR(INDEX(COA!$C$5:$C$59,MATCH(JURNAL!E812,COA!$B$5:$B$59,0)),"")</f>
        <v/>
      </c>
      <c r="G812" s="204"/>
      <c r="H812" s="204"/>
    </row>
    <row r="813" spans="2:8" ht="15.75" customHeight="1" x14ac:dyDescent="0.2">
      <c r="B813" s="30"/>
      <c r="C813" s="24"/>
      <c r="D813" s="24"/>
      <c r="E813" s="24"/>
      <c r="F813" s="24" t="str">
        <f t="array" ref="F813">IFERROR(INDEX(COA!$C$5:$C$59,MATCH(JURNAL!E813,COA!$B$5:$B$59,0)),"")</f>
        <v/>
      </c>
      <c r="G813" s="204"/>
      <c r="H813" s="204"/>
    </row>
    <row r="814" spans="2:8" ht="15.75" customHeight="1" x14ac:dyDescent="0.2">
      <c r="B814" s="30"/>
      <c r="C814" s="24"/>
      <c r="D814" s="24"/>
      <c r="E814" s="24"/>
      <c r="F814" s="24" t="str">
        <f t="array" ref="F814">IFERROR(INDEX(COA!$C$5:$C$59,MATCH(JURNAL!E814,COA!$B$5:$B$59,0)),"")</f>
        <v/>
      </c>
      <c r="G814" s="204"/>
      <c r="H814" s="204"/>
    </row>
    <row r="815" spans="2:8" ht="15.75" customHeight="1" x14ac:dyDescent="0.2">
      <c r="B815" s="30"/>
      <c r="C815" s="24"/>
      <c r="D815" s="24"/>
      <c r="E815" s="24"/>
      <c r="F815" s="24" t="str">
        <f t="array" ref="F815">IFERROR(INDEX(COA!$C$5:$C$59,MATCH(JURNAL!E815,COA!$B$5:$B$59,0)),"")</f>
        <v/>
      </c>
      <c r="G815" s="204"/>
      <c r="H815" s="204"/>
    </row>
    <row r="816" spans="2:8" ht="15.75" customHeight="1" x14ac:dyDescent="0.2">
      <c r="B816" s="30"/>
      <c r="C816" s="24"/>
      <c r="D816" s="24"/>
      <c r="E816" s="24"/>
      <c r="F816" s="24" t="str">
        <f t="array" ref="F816">IFERROR(INDEX(COA!$C$5:$C$59,MATCH(JURNAL!E816,COA!$B$5:$B$59,0)),"")</f>
        <v/>
      </c>
      <c r="G816" s="204"/>
      <c r="H816" s="204"/>
    </row>
    <row r="817" spans="2:8" ht="15.75" customHeight="1" x14ac:dyDescent="0.2">
      <c r="B817" s="30"/>
      <c r="C817" s="24"/>
      <c r="D817" s="24"/>
      <c r="E817" s="24"/>
      <c r="F817" s="24" t="str">
        <f t="array" ref="F817">IFERROR(INDEX(COA!$C$5:$C$59,MATCH(JURNAL!E817,COA!$B$5:$B$59,0)),"")</f>
        <v/>
      </c>
      <c r="G817" s="204"/>
      <c r="H817" s="204"/>
    </row>
    <row r="818" spans="2:8" ht="15.75" customHeight="1" x14ac:dyDescent="0.2">
      <c r="B818" s="30"/>
      <c r="C818" s="24"/>
      <c r="D818" s="24"/>
      <c r="E818" s="24"/>
      <c r="F818" s="24" t="str">
        <f t="array" ref="F818">IFERROR(INDEX(COA!$C$5:$C$59,MATCH(JURNAL!E818,COA!$B$5:$B$59,0)),"")</f>
        <v/>
      </c>
      <c r="G818" s="204"/>
      <c r="H818" s="204"/>
    </row>
    <row r="819" spans="2:8" ht="15.75" customHeight="1" x14ac:dyDescent="0.2">
      <c r="B819" s="30"/>
      <c r="C819" s="24"/>
      <c r="D819" s="24"/>
      <c r="E819" s="24"/>
      <c r="F819" s="24" t="str">
        <f t="array" ref="F819">IFERROR(INDEX(COA!$C$5:$C$59,MATCH(JURNAL!E819,COA!$B$5:$B$59,0)),"")</f>
        <v/>
      </c>
      <c r="G819" s="204"/>
      <c r="H819" s="204"/>
    </row>
    <row r="820" spans="2:8" ht="15.75" customHeight="1" x14ac:dyDescent="0.2">
      <c r="B820" s="30"/>
      <c r="C820" s="24"/>
      <c r="D820" s="24"/>
      <c r="E820" s="24"/>
      <c r="F820" s="24" t="str">
        <f t="array" ref="F820">IFERROR(INDEX(COA!$C$5:$C$59,MATCH(JURNAL!E820,COA!$B$5:$B$59,0)),"")</f>
        <v/>
      </c>
      <c r="G820" s="204"/>
      <c r="H820" s="204"/>
    </row>
    <row r="821" spans="2:8" ht="15.75" customHeight="1" x14ac:dyDescent="0.2">
      <c r="B821" s="30"/>
      <c r="C821" s="24"/>
      <c r="D821" s="24"/>
      <c r="E821" s="24"/>
      <c r="F821" s="24" t="str">
        <f t="array" ref="F821">IFERROR(INDEX(COA!$C$5:$C$59,MATCH(JURNAL!E821,COA!$B$5:$B$59,0)),"")</f>
        <v/>
      </c>
      <c r="G821" s="204"/>
      <c r="H821" s="204"/>
    </row>
    <row r="822" spans="2:8" ht="15.75" customHeight="1" x14ac:dyDescent="0.2">
      <c r="B822" s="30"/>
      <c r="C822" s="24"/>
      <c r="D822" s="24"/>
      <c r="E822" s="24"/>
      <c r="F822" s="24" t="str">
        <f t="array" ref="F822">IFERROR(INDEX(COA!$C$5:$C$59,MATCH(JURNAL!E822,COA!$B$5:$B$59,0)),"")</f>
        <v/>
      </c>
      <c r="G822" s="204"/>
      <c r="H822" s="204"/>
    </row>
    <row r="823" spans="2:8" ht="15.75" customHeight="1" x14ac:dyDescent="0.2">
      <c r="B823" s="30"/>
      <c r="C823" s="24"/>
      <c r="D823" s="24"/>
      <c r="E823" s="24"/>
      <c r="F823" s="24" t="str">
        <f t="array" ref="F823">IFERROR(INDEX(COA!$C$5:$C$59,MATCH(JURNAL!E823,COA!$B$5:$B$59,0)),"")</f>
        <v/>
      </c>
      <c r="G823" s="204"/>
      <c r="H823" s="204"/>
    </row>
    <row r="824" spans="2:8" ht="15.75" customHeight="1" x14ac:dyDescent="0.2">
      <c r="B824" s="30"/>
      <c r="C824" s="24"/>
      <c r="D824" s="24"/>
      <c r="E824" s="24"/>
      <c r="F824" s="24" t="str">
        <f t="array" ref="F824">IFERROR(INDEX(COA!$C$5:$C$59,MATCH(JURNAL!E824,COA!$B$5:$B$59,0)),"")</f>
        <v/>
      </c>
      <c r="G824" s="204"/>
      <c r="H824" s="204"/>
    </row>
    <row r="825" spans="2:8" ht="15.75" customHeight="1" x14ac:dyDescent="0.2">
      <c r="B825" s="30"/>
      <c r="C825" s="24"/>
      <c r="D825" s="24"/>
      <c r="E825" s="24"/>
      <c r="F825" s="24" t="str">
        <f t="array" ref="F825">IFERROR(INDEX(COA!$C$5:$C$59,MATCH(JURNAL!E825,COA!$B$5:$B$59,0)),"")</f>
        <v/>
      </c>
      <c r="G825" s="204"/>
      <c r="H825" s="204"/>
    </row>
    <row r="826" spans="2:8" ht="15.75" customHeight="1" x14ac:dyDescent="0.2">
      <c r="B826" s="30"/>
      <c r="C826" s="24"/>
      <c r="D826" s="24"/>
      <c r="E826" s="24"/>
      <c r="F826" s="24" t="str">
        <f t="array" ref="F826">IFERROR(INDEX(COA!$C$5:$C$59,MATCH(JURNAL!E826,COA!$B$5:$B$59,0)),"")</f>
        <v/>
      </c>
      <c r="G826" s="204"/>
      <c r="H826" s="204"/>
    </row>
    <row r="827" spans="2:8" ht="15.75" customHeight="1" x14ac:dyDescent="0.2">
      <c r="B827" s="30"/>
      <c r="C827" s="24"/>
      <c r="D827" s="24"/>
      <c r="E827" s="24"/>
      <c r="F827" s="24" t="str">
        <f t="array" ref="F827">IFERROR(INDEX(COA!$C$5:$C$59,MATCH(JURNAL!E827,COA!$B$5:$B$59,0)),"")</f>
        <v/>
      </c>
      <c r="G827" s="204"/>
      <c r="H827" s="204"/>
    </row>
    <row r="828" spans="2:8" ht="15.75" customHeight="1" x14ac:dyDescent="0.2">
      <c r="B828" s="30"/>
      <c r="C828" s="24"/>
      <c r="D828" s="24"/>
      <c r="E828" s="24"/>
      <c r="F828" s="24" t="str">
        <f t="array" ref="F828">IFERROR(INDEX(COA!$C$5:$C$59,MATCH(JURNAL!E828,COA!$B$5:$B$59,0)),"")</f>
        <v/>
      </c>
      <c r="G828" s="204"/>
      <c r="H828" s="204"/>
    </row>
    <row r="829" spans="2:8" ht="15.75" customHeight="1" x14ac:dyDescent="0.2">
      <c r="B829" s="30"/>
      <c r="C829" s="24"/>
      <c r="D829" s="24"/>
      <c r="E829" s="24"/>
      <c r="F829" s="24" t="str">
        <f t="array" ref="F829">IFERROR(INDEX(COA!$C$5:$C$59,MATCH(JURNAL!E829,COA!$B$5:$B$59,0)),"")</f>
        <v/>
      </c>
      <c r="G829" s="204"/>
      <c r="H829" s="204"/>
    </row>
    <row r="830" spans="2:8" ht="15.75" customHeight="1" x14ac:dyDescent="0.2">
      <c r="B830" s="30"/>
      <c r="C830" s="24"/>
      <c r="D830" s="24"/>
      <c r="E830" s="24"/>
      <c r="F830" s="24" t="str">
        <f t="array" ref="F830">IFERROR(INDEX(COA!$C$5:$C$59,MATCH(JURNAL!E830,COA!$B$5:$B$59,0)),"")</f>
        <v/>
      </c>
      <c r="G830" s="204"/>
      <c r="H830" s="204"/>
    </row>
    <row r="831" spans="2:8" ht="15.75" customHeight="1" x14ac:dyDescent="0.2">
      <c r="B831" s="30"/>
      <c r="C831" s="24"/>
      <c r="D831" s="24"/>
      <c r="E831" s="24"/>
      <c r="F831" s="24" t="str">
        <f t="array" ref="F831">IFERROR(INDEX(COA!$C$5:$C$59,MATCH(JURNAL!E831,COA!$B$5:$B$59,0)),"")</f>
        <v/>
      </c>
      <c r="G831" s="204"/>
      <c r="H831" s="204"/>
    </row>
    <row r="832" spans="2:8" ht="15.75" customHeight="1" x14ac:dyDescent="0.2">
      <c r="B832" s="30"/>
      <c r="C832" s="24"/>
      <c r="D832" s="24"/>
      <c r="E832" s="24"/>
      <c r="F832" s="24" t="str">
        <f t="array" ref="F832">IFERROR(INDEX(COA!$C$5:$C$59,MATCH(JURNAL!E832,COA!$B$5:$B$59,0)),"")</f>
        <v/>
      </c>
      <c r="G832" s="204"/>
      <c r="H832" s="204"/>
    </row>
    <row r="833" spans="2:8" ht="15.75" customHeight="1" x14ac:dyDescent="0.2">
      <c r="B833" s="30"/>
      <c r="C833" s="24"/>
      <c r="D833" s="24"/>
      <c r="E833" s="24"/>
      <c r="F833" s="24" t="str">
        <f t="array" ref="F833">IFERROR(INDEX(COA!$C$5:$C$59,MATCH(JURNAL!E833,COA!$B$5:$B$59,0)),"")</f>
        <v/>
      </c>
      <c r="G833" s="204"/>
      <c r="H833" s="204"/>
    </row>
    <row r="834" spans="2:8" ht="15.75" customHeight="1" x14ac:dyDescent="0.2">
      <c r="B834" s="30"/>
      <c r="C834" s="24"/>
      <c r="D834" s="24"/>
      <c r="E834" s="24"/>
      <c r="F834" s="24" t="str">
        <f t="array" ref="F834">IFERROR(INDEX(COA!$C$5:$C$59,MATCH(JURNAL!E834,COA!$B$5:$B$59,0)),"")</f>
        <v/>
      </c>
      <c r="G834" s="204"/>
      <c r="H834" s="204"/>
    </row>
    <row r="835" spans="2:8" ht="15.75" customHeight="1" x14ac:dyDescent="0.2">
      <c r="B835" s="30"/>
      <c r="C835" s="24"/>
      <c r="D835" s="24"/>
      <c r="E835" s="24"/>
      <c r="F835" s="24" t="str">
        <f t="array" ref="F835">IFERROR(INDEX(COA!$C$5:$C$59,MATCH(JURNAL!E835,COA!$B$5:$B$59,0)),"")</f>
        <v/>
      </c>
      <c r="G835" s="204"/>
      <c r="H835" s="204"/>
    </row>
    <row r="836" spans="2:8" ht="15.75" customHeight="1" x14ac:dyDescent="0.2">
      <c r="B836" s="30"/>
      <c r="C836" s="24"/>
      <c r="D836" s="24"/>
      <c r="E836" s="24"/>
      <c r="F836" s="24" t="str">
        <f t="array" ref="F836">IFERROR(INDEX(COA!$C$5:$C$59,MATCH(JURNAL!E836,COA!$B$5:$B$59,0)),"")</f>
        <v/>
      </c>
      <c r="G836" s="204"/>
      <c r="H836" s="204"/>
    </row>
    <row r="837" spans="2:8" ht="15.75" customHeight="1" x14ac:dyDescent="0.2">
      <c r="B837" s="30"/>
      <c r="C837" s="24"/>
      <c r="D837" s="24"/>
      <c r="E837" s="24"/>
      <c r="F837" s="24" t="str">
        <f t="array" ref="F837">IFERROR(INDEX(COA!$C$5:$C$59,MATCH(JURNAL!E837,COA!$B$5:$B$59,0)),"")</f>
        <v/>
      </c>
      <c r="G837" s="204"/>
      <c r="H837" s="204"/>
    </row>
    <row r="838" spans="2:8" ht="15.75" customHeight="1" x14ac:dyDescent="0.2">
      <c r="B838" s="30"/>
      <c r="C838" s="24"/>
      <c r="D838" s="24"/>
      <c r="E838" s="24"/>
      <c r="F838" s="24" t="str">
        <f t="array" ref="F838">IFERROR(INDEX(COA!$C$5:$C$59,MATCH(JURNAL!E838,COA!$B$5:$B$59,0)),"")</f>
        <v/>
      </c>
      <c r="G838" s="204"/>
      <c r="H838" s="204"/>
    </row>
    <row r="839" spans="2:8" ht="15.75" customHeight="1" x14ac:dyDescent="0.2">
      <c r="B839" s="30"/>
      <c r="C839" s="24"/>
      <c r="D839" s="24"/>
      <c r="E839" s="24"/>
      <c r="F839" s="24" t="str">
        <f t="array" ref="F839">IFERROR(INDEX(COA!$C$5:$C$59,MATCH(JURNAL!E839,COA!$B$5:$B$59,0)),"")</f>
        <v/>
      </c>
      <c r="G839" s="204"/>
      <c r="H839" s="204"/>
    </row>
    <row r="840" spans="2:8" ht="15.75" customHeight="1" x14ac:dyDescent="0.2">
      <c r="B840" s="30"/>
      <c r="C840" s="24"/>
      <c r="D840" s="24"/>
      <c r="E840" s="24"/>
      <c r="F840" s="24" t="str">
        <f t="array" ref="F840">IFERROR(INDEX(COA!$C$5:$C$59,MATCH(JURNAL!E840,COA!$B$5:$B$59,0)),"")</f>
        <v/>
      </c>
      <c r="G840" s="204"/>
      <c r="H840" s="204"/>
    </row>
    <row r="841" spans="2:8" ht="15.75" customHeight="1" x14ac:dyDescent="0.2">
      <c r="B841" s="30"/>
      <c r="C841" s="24"/>
      <c r="D841" s="24"/>
      <c r="E841" s="24"/>
      <c r="F841" s="24" t="str">
        <f t="array" ref="F841">IFERROR(INDEX(COA!$C$5:$C$59,MATCH(JURNAL!E841,COA!$B$5:$B$59,0)),"")</f>
        <v/>
      </c>
      <c r="G841" s="204"/>
      <c r="H841" s="204"/>
    </row>
    <row r="842" spans="2:8" ht="15.75" customHeight="1" x14ac:dyDescent="0.2">
      <c r="B842" s="30"/>
      <c r="C842" s="24"/>
      <c r="D842" s="24"/>
      <c r="E842" s="24"/>
      <c r="F842" s="24" t="str">
        <f t="array" ref="F842">IFERROR(INDEX(COA!$C$5:$C$59,MATCH(JURNAL!E842,COA!$B$5:$B$59,0)),"")</f>
        <v/>
      </c>
      <c r="G842" s="204"/>
      <c r="H842" s="204"/>
    </row>
    <row r="843" spans="2:8" ht="15.75" customHeight="1" x14ac:dyDescent="0.2">
      <c r="B843" s="30"/>
      <c r="C843" s="24"/>
      <c r="D843" s="24"/>
      <c r="E843" s="24"/>
      <c r="F843" s="24" t="str">
        <f t="array" ref="F843">IFERROR(INDEX(COA!$C$5:$C$59,MATCH(JURNAL!E843,COA!$B$5:$B$59,0)),"")</f>
        <v/>
      </c>
      <c r="G843" s="204"/>
      <c r="H843" s="204"/>
    </row>
    <row r="844" spans="2:8" ht="15.75" customHeight="1" x14ac:dyDescent="0.2">
      <c r="B844" s="30"/>
      <c r="C844" s="24"/>
      <c r="D844" s="24"/>
      <c r="E844" s="24"/>
      <c r="F844" s="24" t="str">
        <f t="array" ref="F844">IFERROR(INDEX(COA!$C$5:$C$59,MATCH(JURNAL!E844,COA!$B$5:$B$59,0)),"")</f>
        <v/>
      </c>
      <c r="G844" s="204"/>
      <c r="H844" s="204"/>
    </row>
    <row r="845" spans="2:8" ht="15.75" customHeight="1" x14ac:dyDescent="0.2">
      <c r="B845" s="30"/>
      <c r="C845" s="24"/>
      <c r="D845" s="24"/>
      <c r="E845" s="24"/>
      <c r="F845" s="24" t="str">
        <f t="array" ref="F845">IFERROR(INDEX(COA!$C$5:$C$59,MATCH(JURNAL!E845,COA!$B$5:$B$59,0)),"")</f>
        <v/>
      </c>
      <c r="G845" s="204"/>
      <c r="H845" s="204"/>
    </row>
    <row r="846" spans="2:8" ht="15.75" customHeight="1" x14ac:dyDescent="0.2">
      <c r="B846" s="30"/>
      <c r="C846" s="24"/>
      <c r="D846" s="24"/>
      <c r="E846" s="24"/>
      <c r="F846" s="24" t="str">
        <f t="array" ref="F846">IFERROR(INDEX(COA!$C$5:$C$59,MATCH(JURNAL!E846,COA!$B$5:$B$59,0)),"")</f>
        <v/>
      </c>
      <c r="G846" s="204"/>
      <c r="H846" s="204"/>
    </row>
    <row r="847" spans="2:8" ht="15.75" customHeight="1" x14ac:dyDescent="0.2">
      <c r="B847" s="30"/>
      <c r="C847" s="24"/>
      <c r="D847" s="24"/>
      <c r="E847" s="24"/>
      <c r="F847" s="24" t="str">
        <f t="array" ref="F847">IFERROR(INDEX(COA!$C$5:$C$59,MATCH(JURNAL!E847,COA!$B$5:$B$59,0)),"")</f>
        <v/>
      </c>
      <c r="G847" s="204"/>
      <c r="H847" s="204"/>
    </row>
    <row r="848" spans="2:8" ht="15.75" customHeight="1" x14ac:dyDescent="0.2">
      <c r="B848" s="30"/>
      <c r="C848" s="24"/>
      <c r="D848" s="24"/>
      <c r="E848" s="24"/>
      <c r="F848" s="24" t="str">
        <f t="array" ref="F848">IFERROR(INDEX(COA!$C$5:$C$59,MATCH(JURNAL!E848,COA!$B$5:$B$59,0)),"")</f>
        <v/>
      </c>
      <c r="G848" s="204"/>
      <c r="H848" s="204"/>
    </row>
    <row r="849" spans="2:8" ht="15.75" customHeight="1" x14ac:dyDescent="0.2">
      <c r="B849" s="30"/>
      <c r="C849" s="24"/>
      <c r="D849" s="24"/>
      <c r="E849" s="24"/>
      <c r="F849" s="24" t="str">
        <f t="array" ref="F849">IFERROR(INDEX(COA!$C$5:$C$59,MATCH(JURNAL!E849,COA!$B$5:$B$59,0)),"")</f>
        <v/>
      </c>
      <c r="G849" s="204"/>
      <c r="H849" s="204"/>
    </row>
    <row r="850" spans="2:8" ht="15.75" customHeight="1" x14ac:dyDescent="0.2">
      <c r="B850" s="30"/>
      <c r="C850" s="24"/>
      <c r="D850" s="24"/>
      <c r="E850" s="24"/>
      <c r="F850" s="24" t="str">
        <f t="array" ref="F850">IFERROR(INDEX(COA!$C$5:$C$59,MATCH(JURNAL!E850,COA!$B$5:$B$59,0)),"")</f>
        <v/>
      </c>
      <c r="G850" s="204"/>
      <c r="H850" s="204"/>
    </row>
    <row r="851" spans="2:8" ht="15.75" customHeight="1" x14ac:dyDescent="0.2">
      <c r="B851" s="30"/>
      <c r="C851" s="24"/>
      <c r="D851" s="24"/>
      <c r="E851" s="24"/>
      <c r="F851" s="24" t="str">
        <f t="array" ref="F851">IFERROR(INDEX(COA!$C$5:$C$59,MATCH(JURNAL!E851,COA!$B$5:$B$59,0)),"")</f>
        <v/>
      </c>
      <c r="G851" s="204"/>
      <c r="H851" s="204"/>
    </row>
    <row r="852" spans="2:8" ht="15.75" customHeight="1" x14ac:dyDescent="0.2">
      <c r="B852" s="30"/>
      <c r="C852" s="24"/>
      <c r="D852" s="24"/>
      <c r="E852" s="24"/>
      <c r="F852" s="24" t="str">
        <f t="array" ref="F852">IFERROR(INDEX(COA!$C$5:$C$59,MATCH(JURNAL!E852,COA!$B$5:$B$59,0)),"")</f>
        <v/>
      </c>
      <c r="G852" s="204"/>
      <c r="H852" s="204"/>
    </row>
    <row r="853" spans="2:8" ht="15.75" customHeight="1" x14ac:dyDescent="0.2">
      <c r="B853" s="30"/>
      <c r="C853" s="24"/>
      <c r="D853" s="24"/>
      <c r="E853" s="24"/>
      <c r="F853" s="24" t="str">
        <f t="array" ref="F853">IFERROR(INDEX(COA!$C$5:$C$59,MATCH(JURNAL!E853,COA!$B$5:$B$59,0)),"")</f>
        <v/>
      </c>
      <c r="G853" s="204"/>
      <c r="H853" s="204"/>
    </row>
    <row r="854" spans="2:8" ht="15.75" customHeight="1" x14ac:dyDescent="0.2">
      <c r="B854" s="30"/>
      <c r="C854" s="24"/>
      <c r="D854" s="24"/>
      <c r="E854" s="24"/>
      <c r="F854" s="24" t="str">
        <f t="array" ref="F854">IFERROR(INDEX(COA!$C$5:$C$59,MATCH(JURNAL!E854,COA!$B$5:$B$59,0)),"")</f>
        <v/>
      </c>
      <c r="G854" s="204"/>
      <c r="H854" s="204"/>
    </row>
    <row r="855" spans="2:8" ht="15.75" customHeight="1" x14ac:dyDescent="0.2">
      <c r="B855" s="30"/>
      <c r="C855" s="24"/>
      <c r="D855" s="24"/>
      <c r="E855" s="24"/>
      <c r="F855" s="24" t="str">
        <f t="array" ref="F855">IFERROR(INDEX(COA!$C$5:$C$59,MATCH(JURNAL!E855,COA!$B$5:$B$59,0)),"")</f>
        <v/>
      </c>
      <c r="G855" s="204"/>
      <c r="H855" s="204"/>
    </row>
    <row r="856" spans="2:8" ht="15.75" customHeight="1" x14ac:dyDescent="0.2">
      <c r="B856" s="30"/>
      <c r="C856" s="24"/>
      <c r="D856" s="24"/>
      <c r="E856" s="24"/>
      <c r="F856" s="24" t="str">
        <f t="array" ref="F856">IFERROR(INDEX(COA!$C$5:$C$59,MATCH(JURNAL!E856,COA!$B$5:$B$59,0)),"")</f>
        <v/>
      </c>
      <c r="G856" s="204"/>
      <c r="H856" s="204"/>
    </row>
    <row r="857" spans="2:8" ht="15.75" customHeight="1" x14ac:dyDescent="0.2">
      <c r="B857" s="30"/>
      <c r="C857" s="24"/>
      <c r="D857" s="24"/>
      <c r="E857" s="24"/>
      <c r="F857" s="24" t="str">
        <f t="array" ref="F857">IFERROR(INDEX(COA!$C$5:$C$59,MATCH(JURNAL!E857,COA!$B$5:$B$59,0)),"")</f>
        <v/>
      </c>
      <c r="G857" s="204"/>
      <c r="H857" s="204"/>
    </row>
    <row r="858" spans="2:8" ht="15.75" customHeight="1" x14ac:dyDescent="0.2">
      <c r="B858" s="30"/>
      <c r="C858" s="24"/>
      <c r="D858" s="24"/>
      <c r="E858" s="24"/>
      <c r="F858" s="24" t="str">
        <f t="array" ref="F858">IFERROR(INDEX(COA!$C$5:$C$59,MATCH(JURNAL!E858,COA!$B$5:$B$59,0)),"")</f>
        <v/>
      </c>
      <c r="G858" s="204"/>
      <c r="H858" s="204"/>
    </row>
    <row r="859" spans="2:8" ht="15.75" customHeight="1" x14ac:dyDescent="0.2">
      <c r="B859" s="30"/>
      <c r="C859" s="24"/>
      <c r="D859" s="24"/>
      <c r="E859" s="24"/>
      <c r="F859" s="24" t="str">
        <f t="array" ref="F859">IFERROR(INDEX(COA!$C$5:$C$59,MATCH(JURNAL!E859,COA!$B$5:$B$59,0)),"")</f>
        <v/>
      </c>
      <c r="G859" s="204"/>
      <c r="H859" s="204"/>
    </row>
    <row r="860" spans="2:8" ht="15.75" customHeight="1" x14ac:dyDescent="0.2">
      <c r="B860" s="30"/>
      <c r="C860" s="24"/>
      <c r="D860" s="24"/>
      <c r="E860" s="24"/>
      <c r="F860" s="24" t="str">
        <f t="array" ref="F860">IFERROR(INDEX(COA!$C$5:$C$59,MATCH(JURNAL!E860,COA!$B$5:$B$59,0)),"")</f>
        <v/>
      </c>
      <c r="G860" s="204"/>
      <c r="H860" s="204"/>
    </row>
    <row r="861" spans="2:8" ht="15.75" customHeight="1" x14ac:dyDescent="0.2">
      <c r="B861" s="30"/>
      <c r="C861" s="24"/>
      <c r="D861" s="24"/>
      <c r="E861" s="24"/>
      <c r="F861" s="24" t="str">
        <f t="array" ref="F861">IFERROR(INDEX(COA!$C$5:$C$59,MATCH(JURNAL!E861,COA!$B$5:$B$59,0)),"")</f>
        <v/>
      </c>
      <c r="G861" s="204"/>
      <c r="H861" s="204"/>
    </row>
    <row r="862" spans="2:8" ht="15.75" customHeight="1" x14ac:dyDescent="0.2">
      <c r="B862" s="30"/>
      <c r="C862" s="24"/>
      <c r="D862" s="24"/>
      <c r="E862" s="24"/>
      <c r="F862" s="24" t="str">
        <f t="array" ref="F862">IFERROR(INDEX(COA!$C$5:$C$59,MATCH(JURNAL!E862,COA!$B$5:$B$59,0)),"")</f>
        <v/>
      </c>
      <c r="G862" s="204"/>
      <c r="H862" s="204"/>
    </row>
    <row r="863" spans="2:8" ht="15.75" customHeight="1" x14ac:dyDescent="0.2">
      <c r="B863" s="30"/>
      <c r="C863" s="24"/>
      <c r="D863" s="24"/>
      <c r="E863" s="24"/>
      <c r="F863" s="24" t="str">
        <f t="array" ref="F863">IFERROR(INDEX(COA!$C$5:$C$59,MATCH(JURNAL!E863,COA!$B$5:$B$59,0)),"")</f>
        <v/>
      </c>
      <c r="G863" s="204"/>
      <c r="H863" s="204"/>
    </row>
    <row r="864" spans="2:8" ht="15.75" customHeight="1" x14ac:dyDescent="0.2">
      <c r="B864" s="30"/>
      <c r="C864" s="24"/>
      <c r="D864" s="24"/>
      <c r="E864" s="24"/>
      <c r="F864" s="24" t="str">
        <f t="array" ref="F864">IFERROR(INDEX(COA!$C$5:$C$59,MATCH(JURNAL!E864,COA!$B$5:$B$59,0)),"")</f>
        <v/>
      </c>
      <c r="G864" s="204"/>
      <c r="H864" s="204"/>
    </row>
    <row r="865" spans="2:8" ht="15.75" customHeight="1" x14ac:dyDescent="0.2">
      <c r="B865" s="30"/>
      <c r="C865" s="24"/>
      <c r="D865" s="24"/>
      <c r="E865" s="24"/>
      <c r="F865" s="24" t="str">
        <f t="array" ref="F865">IFERROR(INDEX(COA!$C$5:$C$59,MATCH(JURNAL!E865,COA!$B$5:$B$59,0)),"")</f>
        <v/>
      </c>
      <c r="G865" s="204"/>
      <c r="H865" s="204"/>
    </row>
    <row r="866" spans="2:8" ht="15.75" customHeight="1" x14ac:dyDescent="0.2">
      <c r="B866" s="30"/>
      <c r="C866" s="24"/>
      <c r="D866" s="24"/>
      <c r="E866" s="24"/>
      <c r="F866" s="24" t="str">
        <f t="array" ref="F866">IFERROR(INDEX(COA!$C$5:$C$59,MATCH(JURNAL!E866,COA!$B$5:$B$59,0)),"")</f>
        <v/>
      </c>
      <c r="G866" s="204"/>
      <c r="H866" s="204"/>
    </row>
    <row r="867" spans="2:8" ht="15.75" customHeight="1" x14ac:dyDescent="0.2">
      <c r="B867" s="30"/>
      <c r="C867" s="24"/>
      <c r="D867" s="24"/>
      <c r="E867" s="24"/>
      <c r="F867" s="24" t="str">
        <f t="array" ref="F867">IFERROR(INDEX(COA!$C$5:$C$59,MATCH(JURNAL!E867,COA!$B$5:$B$59,0)),"")</f>
        <v/>
      </c>
      <c r="G867" s="204"/>
      <c r="H867" s="204"/>
    </row>
    <row r="868" spans="2:8" ht="15.75" customHeight="1" x14ac:dyDescent="0.2">
      <c r="B868" s="30"/>
      <c r="C868" s="24"/>
      <c r="D868" s="24"/>
      <c r="E868" s="24"/>
      <c r="F868" s="24" t="str">
        <f t="array" ref="F868">IFERROR(INDEX(COA!$C$5:$C$59,MATCH(JURNAL!E868,COA!$B$5:$B$59,0)),"")</f>
        <v/>
      </c>
      <c r="G868" s="204"/>
      <c r="H868" s="204"/>
    </row>
    <row r="869" spans="2:8" ht="15.75" customHeight="1" x14ac:dyDescent="0.2">
      <c r="B869" s="30"/>
      <c r="C869" s="24"/>
      <c r="D869" s="24"/>
      <c r="E869" s="24"/>
      <c r="F869" s="24" t="str">
        <f t="array" ref="F869">IFERROR(INDEX(COA!$C$5:$C$59,MATCH(JURNAL!E869,COA!$B$5:$B$59,0)),"")</f>
        <v/>
      </c>
      <c r="G869" s="204"/>
      <c r="H869" s="204"/>
    </row>
    <row r="870" spans="2:8" ht="15.75" customHeight="1" x14ac:dyDescent="0.2">
      <c r="B870" s="30"/>
      <c r="C870" s="24"/>
      <c r="D870" s="24"/>
      <c r="E870" s="24"/>
      <c r="F870" s="24" t="str">
        <f t="array" ref="F870">IFERROR(INDEX(COA!$C$5:$C$59,MATCH(JURNAL!E870,COA!$B$5:$B$59,0)),"")</f>
        <v/>
      </c>
      <c r="G870" s="204"/>
      <c r="H870" s="204"/>
    </row>
    <row r="871" spans="2:8" ht="15.75" customHeight="1" x14ac:dyDescent="0.2">
      <c r="B871" s="30"/>
      <c r="C871" s="24"/>
      <c r="D871" s="24"/>
      <c r="E871" s="24"/>
      <c r="F871" s="24" t="str">
        <f t="array" ref="F871">IFERROR(INDEX(COA!$C$5:$C$59,MATCH(JURNAL!E871,COA!$B$5:$B$59,0)),"")</f>
        <v/>
      </c>
      <c r="G871" s="204"/>
      <c r="H871" s="204"/>
    </row>
    <row r="872" spans="2:8" ht="15.75" customHeight="1" x14ac:dyDescent="0.2">
      <c r="B872" s="30"/>
      <c r="C872" s="24"/>
      <c r="D872" s="24"/>
      <c r="E872" s="24"/>
      <c r="F872" s="24" t="str">
        <f t="array" ref="F872">IFERROR(INDEX(COA!$C$5:$C$59,MATCH(JURNAL!E872,COA!$B$5:$B$59,0)),"")</f>
        <v/>
      </c>
      <c r="G872" s="204"/>
      <c r="H872" s="204"/>
    </row>
    <row r="873" spans="2:8" ht="15.75" customHeight="1" x14ac:dyDescent="0.2">
      <c r="B873" s="30"/>
      <c r="C873" s="24"/>
      <c r="D873" s="24"/>
      <c r="E873" s="24"/>
      <c r="F873" s="24" t="str">
        <f t="array" ref="F873">IFERROR(INDEX(COA!$C$5:$C$59,MATCH(JURNAL!E873,COA!$B$5:$B$59,0)),"")</f>
        <v/>
      </c>
      <c r="G873" s="204"/>
      <c r="H873" s="204"/>
    </row>
    <row r="874" spans="2:8" ht="15.75" customHeight="1" x14ac:dyDescent="0.2">
      <c r="B874" s="30"/>
      <c r="C874" s="24"/>
      <c r="D874" s="24"/>
      <c r="E874" s="24"/>
      <c r="F874" s="24" t="str">
        <f t="array" ref="F874">IFERROR(INDEX(COA!$C$5:$C$59,MATCH(JURNAL!E874,COA!$B$5:$B$59,0)),"")</f>
        <v/>
      </c>
      <c r="G874" s="204"/>
      <c r="H874" s="204"/>
    </row>
    <row r="875" spans="2:8" ht="15.75" customHeight="1" x14ac:dyDescent="0.2">
      <c r="B875" s="30"/>
      <c r="C875" s="24"/>
      <c r="D875" s="24"/>
      <c r="E875" s="24"/>
      <c r="F875" s="24" t="str">
        <f t="array" ref="F875">IFERROR(INDEX(COA!$C$5:$C$59,MATCH(JURNAL!E875,COA!$B$5:$B$59,0)),"")</f>
        <v/>
      </c>
      <c r="G875" s="204"/>
      <c r="H875" s="204"/>
    </row>
    <row r="876" spans="2:8" ht="15.75" customHeight="1" x14ac:dyDescent="0.2">
      <c r="B876" s="30"/>
      <c r="C876" s="24"/>
      <c r="D876" s="24"/>
      <c r="E876" s="24"/>
      <c r="F876" s="24" t="str">
        <f t="array" ref="F876">IFERROR(INDEX(COA!$C$5:$C$59,MATCH(JURNAL!E876,COA!$B$5:$B$59,0)),"")</f>
        <v/>
      </c>
      <c r="G876" s="204"/>
      <c r="H876" s="204"/>
    </row>
    <row r="877" spans="2:8" ht="15.75" customHeight="1" x14ac:dyDescent="0.2">
      <c r="B877" s="30"/>
      <c r="C877" s="24"/>
      <c r="D877" s="24"/>
      <c r="E877" s="24"/>
      <c r="F877" s="24" t="str">
        <f t="array" ref="F877">IFERROR(INDEX(COA!$C$5:$C$59,MATCH(JURNAL!E877,COA!$B$5:$B$59,0)),"")</f>
        <v/>
      </c>
      <c r="G877" s="204"/>
      <c r="H877" s="204"/>
    </row>
    <row r="878" spans="2:8" ht="15.75" customHeight="1" x14ac:dyDescent="0.2">
      <c r="B878" s="30"/>
      <c r="C878" s="24"/>
      <c r="D878" s="24"/>
      <c r="E878" s="24"/>
      <c r="F878" s="24" t="str">
        <f t="array" ref="F878">IFERROR(INDEX(COA!$C$5:$C$59,MATCH(JURNAL!E878,COA!$B$5:$B$59,0)),"")</f>
        <v/>
      </c>
      <c r="G878" s="204"/>
      <c r="H878" s="204"/>
    </row>
    <row r="879" spans="2:8" ht="15.75" customHeight="1" x14ac:dyDescent="0.2">
      <c r="B879" s="30"/>
      <c r="C879" s="24"/>
      <c r="D879" s="24"/>
      <c r="E879" s="24"/>
      <c r="F879" s="24" t="str">
        <f t="array" ref="F879">IFERROR(INDEX(COA!$C$5:$C$59,MATCH(JURNAL!E879,COA!$B$5:$B$59,0)),"")</f>
        <v/>
      </c>
      <c r="G879" s="204"/>
      <c r="H879" s="204"/>
    </row>
    <row r="880" spans="2:8" ht="15.75" customHeight="1" x14ac:dyDescent="0.2">
      <c r="B880" s="30"/>
      <c r="C880" s="24"/>
      <c r="D880" s="24"/>
      <c r="E880" s="24"/>
      <c r="F880" s="24" t="str">
        <f t="array" ref="F880">IFERROR(INDEX(COA!$C$5:$C$59,MATCH(JURNAL!E880,COA!$B$5:$B$59,0)),"")</f>
        <v/>
      </c>
      <c r="G880" s="204"/>
      <c r="H880" s="204"/>
    </row>
    <row r="881" spans="2:8" ht="15.75" customHeight="1" x14ac:dyDescent="0.2">
      <c r="B881" s="30"/>
      <c r="C881" s="24"/>
      <c r="D881" s="24"/>
      <c r="E881" s="24"/>
      <c r="F881" s="24" t="str">
        <f t="array" ref="F881">IFERROR(INDEX(COA!$C$5:$C$59,MATCH(JURNAL!E881,COA!$B$5:$B$59,0)),"")</f>
        <v/>
      </c>
      <c r="G881" s="204"/>
      <c r="H881" s="204"/>
    </row>
    <row r="882" spans="2:8" ht="15.75" customHeight="1" x14ac:dyDescent="0.2">
      <c r="B882" s="30"/>
      <c r="C882" s="24"/>
      <c r="D882" s="24"/>
      <c r="E882" s="24"/>
      <c r="F882" s="24" t="str">
        <f t="array" ref="F882">IFERROR(INDEX(COA!$C$5:$C$59,MATCH(JURNAL!E882,COA!$B$5:$B$59,0)),"")</f>
        <v/>
      </c>
      <c r="G882" s="204"/>
      <c r="H882" s="204"/>
    </row>
    <row r="883" spans="2:8" ht="15.75" customHeight="1" x14ac:dyDescent="0.2">
      <c r="B883" s="30"/>
      <c r="C883" s="24"/>
      <c r="D883" s="24"/>
      <c r="E883" s="24"/>
      <c r="F883" s="24" t="str">
        <f t="array" ref="F883">IFERROR(INDEX(COA!$C$5:$C$59,MATCH(JURNAL!E883,COA!$B$5:$B$59,0)),"")</f>
        <v/>
      </c>
      <c r="G883" s="204"/>
      <c r="H883" s="204"/>
    </row>
    <row r="884" spans="2:8" ht="15.75" customHeight="1" x14ac:dyDescent="0.2">
      <c r="B884" s="30"/>
      <c r="C884" s="24"/>
      <c r="D884" s="24"/>
      <c r="E884" s="24"/>
      <c r="F884" s="24" t="str">
        <f t="array" ref="F884">IFERROR(INDEX(COA!$C$5:$C$59,MATCH(JURNAL!E884,COA!$B$5:$B$59,0)),"")</f>
        <v/>
      </c>
      <c r="G884" s="204"/>
      <c r="H884" s="204"/>
    </row>
    <row r="885" spans="2:8" ht="15.75" customHeight="1" x14ac:dyDescent="0.2">
      <c r="B885" s="30"/>
      <c r="C885" s="24"/>
      <c r="D885" s="24"/>
      <c r="E885" s="24"/>
      <c r="F885" s="24" t="str">
        <f t="array" ref="F885">IFERROR(INDEX(COA!$C$5:$C$59,MATCH(JURNAL!E885,COA!$B$5:$B$59,0)),"")</f>
        <v/>
      </c>
      <c r="G885" s="204"/>
      <c r="H885" s="204"/>
    </row>
    <row r="886" spans="2:8" ht="15.75" customHeight="1" x14ac:dyDescent="0.2">
      <c r="B886" s="30"/>
      <c r="C886" s="24"/>
      <c r="D886" s="24"/>
      <c r="E886" s="24"/>
      <c r="F886" s="24" t="str">
        <f t="array" ref="F886">IFERROR(INDEX(COA!$C$5:$C$59,MATCH(JURNAL!E886,COA!$B$5:$B$59,0)),"")</f>
        <v/>
      </c>
      <c r="G886" s="204"/>
      <c r="H886" s="204"/>
    </row>
    <row r="887" spans="2:8" ht="15.75" customHeight="1" x14ac:dyDescent="0.2">
      <c r="B887" s="30"/>
      <c r="C887" s="24"/>
      <c r="D887" s="24"/>
      <c r="E887" s="24"/>
      <c r="F887" s="24" t="str">
        <f t="array" ref="F887">IFERROR(INDEX(COA!$C$5:$C$59,MATCH(JURNAL!E887,COA!$B$5:$B$59,0)),"")</f>
        <v/>
      </c>
      <c r="G887" s="204"/>
      <c r="H887" s="204"/>
    </row>
    <row r="888" spans="2:8" ht="15.75" customHeight="1" x14ac:dyDescent="0.2">
      <c r="B888" s="30"/>
      <c r="C888" s="24"/>
      <c r="D888" s="24"/>
      <c r="E888" s="24"/>
      <c r="F888" s="24" t="str">
        <f t="array" ref="F888">IFERROR(INDEX(COA!$C$5:$C$59,MATCH(JURNAL!E888,COA!$B$5:$B$59,0)),"")</f>
        <v/>
      </c>
      <c r="G888" s="204"/>
      <c r="H888" s="204"/>
    </row>
    <row r="889" spans="2:8" ht="15.75" customHeight="1" x14ac:dyDescent="0.2">
      <c r="B889" s="30"/>
      <c r="C889" s="24"/>
      <c r="D889" s="24"/>
      <c r="E889" s="24"/>
      <c r="F889" s="24" t="str">
        <f t="array" ref="F889">IFERROR(INDEX(COA!$C$5:$C$59,MATCH(JURNAL!E889,COA!$B$5:$B$59,0)),"")</f>
        <v/>
      </c>
      <c r="G889" s="204"/>
      <c r="H889" s="204"/>
    </row>
    <row r="890" spans="2:8" ht="15.75" customHeight="1" x14ac:dyDescent="0.2">
      <c r="B890" s="30"/>
      <c r="C890" s="24"/>
      <c r="D890" s="24"/>
      <c r="E890" s="24"/>
      <c r="F890" s="24" t="str">
        <f t="array" ref="F890">IFERROR(INDEX(COA!$C$5:$C$59,MATCH(JURNAL!E890,COA!$B$5:$B$59,0)),"")</f>
        <v/>
      </c>
      <c r="G890" s="204"/>
      <c r="H890" s="204"/>
    </row>
    <row r="891" spans="2:8" ht="15.75" customHeight="1" x14ac:dyDescent="0.2">
      <c r="B891" s="30"/>
      <c r="C891" s="24"/>
      <c r="D891" s="24"/>
      <c r="E891" s="24"/>
      <c r="F891" s="24" t="str">
        <f t="array" ref="F891">IFERROR(INDEX(COA!$C$5:$C$59,MATCH(JURNAL!E891,COA!$B$5:$B$59,0)),"")</f>
        <v/>
      </c>
      <c r="G891" s="204"/>
      <c r="H891" s="204"/>
    </row>
    <row r="892" spans="2:8" ht="15.75" customHeight="1" x14ac:dyDescent="0.2">
      <c r="B892" s="30"/>
      <c r="C892" s="24"/>
      <c r="D892" s="24"/>
      <c r="E892" s="24"/>
      <c r="F892" s="24" t="str">
        <f t="array" ref="F892">IFERROR(INDEX(COA!$C$5:$C$59,MATCH(JURNAL!E892,COA!$B$5:$B$59,0)),"")</f>
        <v/>
      </c>
      <c r="G892" s="204"/>
      <c r="H892" s="204"/>
    </row>
    <row r="893" spans="2:8" ht="15.75" customHeight="1" x14ac:dyDescent="0.2">
      <c r="B893" s="30"/>
      <c r="C893" s="24"/>
      <c r="D893" s="24"/>
      <c r="E893" s="24"/>
      <c r="F893" s="24" t="str">
        <f t="array" ref="F893">IFERROR(INDEX(COA!$C$5:$C$59,MATCH(JURNAL!E893,COA!$B$5:$B$59,0)),"")</f>
        <v/>
      </c>
      <c r="G893" s="204"/>
      <c r="H893" s="204"/>
    </row>
    <row r="894" spans="2:8" ht="15.75" customHeight="1" x14ac:dyDescent="0.2">
      <c r="B894" s="30"/>
      <c r="C894" s="24"/>
      <c r="D894" s="24"/>
      <c r="E894" s="24"/>
      <c r="F894" s="24" t="str">
        <f t="array" ref="F894">IFERROR(INDEX(COA!$C$5:$C$59,MATCH(JURNAL!E894,COA!$B$5:$B$59,0)),"")</f>
        <v/>
      </c>
      <c r="G894" s="204"/>
      <c r="H894" s="204"/>
    </row>
    <row r="895" spans="2:8" ht="15.75" customHeight="1" x14ac:dyDescent="0.2">
      <c r="B895" s="30"/>
      <c r="C895" s="24"/>
      <c r="D895" s="24"/>
      <c r="E895" s="24"/>
      <c r="F895" s="24" t="str">
        <f t="array" ref="F895">IFERROR(INDEX(COA!$C$5:$C$59,MATCH(JURNAL!E895,COA!$B$5:$B$59,0)),"")</f>
        <v/>
      </c>
      <c r="G895" s="204"/>
      <c r="H895" s="204"/>
    </row>
    <row r="896" spans="2:8" ht="15.75" customHeight="1" x14ac:dyDescent="0.2">
      <c r="B896" s="30"/>
      <c r="C896" s="24"/>
      <c r="D896" s="24"/>
      <c r="E896" s="24"/>
      <c r="F896" s="24" t="str">
        <f t="array" ref="F896">IFERROR(INDEX(COA!$C$5:$C$59,MATCH(JURNAL!E896,COA!$B$5:$B$59,0)),"")</f>
        <v/>
      </c>
      <c r="G896" s="204"/>
      <c r="H896" s="204"/>
    </row>
    <row r="897" spans="2:8" ht="15.75" customHeight="1" x14ac:dyDescent="0.2">
      <c r="B897" s="30"/>
      <c r="C897" s="24"/>
      <c r="D897" s="24"/>
      <c r="E897" s="24"/>
      <c r="F897" s="24" t="str">
        <f t="array" ref="F897">IFERROR(INDEX(COA!$C$5:$C$59,MATCH(JURNAL!E897,COA!$B$5:$B$59,0)),"")</f>
        <v/>
      </c>
      <c r="G897" s="204"/>
      <c r="H897" s="204"/>
    </row>
    <row r="898" spans="2:8" ht="15.75" customHeight="1" x14ac:dyDescent="0.2">
      <c r="B898" s="30"/>
      <c r="C898" s="24"/>
      <c r="D898" s="24"/>
      <c r="E898" s="24"/>
      <c r="F898" s="24" t="str">
        <f t="array" ref="F898">IFERROR(INDEX(COA!$C$5:$C$59,MATCH(JURNAL!E898,COA!$B$5:$B$59,0)),"")</f>
        <v/>
      </c>
      <c r="G898" s="204"/>
      <c r="H898" s="204"/>
    </row>
    <row r="899" spans="2:8" ht="15.75" customHeight="1" x14ac:dyDescent="0.2">
      <c r="B899" s="30"/>
      <c r="C899" s="24"/>
      <c r="D899" s="24"/>
      <c r="E899" s="24"/>
      <c r="F899" s="24" t="str">
        <f t="array" ref="F899">IFERROR(INDEX(COA!$C$5:$C$59,MATCH(JURNAL!E899,COA!$B$5:$B$59,0)),"")</f>
        <v/>
      </c>
      <c r="G899" s="204"/>
      <c r="H899" s="204"/>
    </row>
    <row r="900" spans="2:8" ht="15.75" customHeight="1" x14ac:dyDescent="0.2">
      <c r="B900" s="30"/>
      <c r="C900" s="24"/>
      <c r="D900" s="24"/>
      <c r="E900" s="24"/>
      <c r="F900" s="24" t="str">
        <f t="array" ref="F900">IFERROR(INDEX(COA!$C$5:$C$59,MATCH(JURNAL!E900,COA!$B$5:$B$59,0)),"")</f>
        <v/>
      </c>
      <c r="G900" s="204"/>
      <c r="H900" s="204"/>
    </row>
    <row r="901" spans="2:8" ht="15.75" customHeight="1" x14ac:dyDescent="0.2">
      <c r="B901" s="30"/>
      <c r="C901" s="24"/>
      <c r="D901" s="24"/>
      <c r="E901" s="24"/>
      <c r="F901" s="24" t="str">
        <f t="array" ref="F901">IFERROR(INDEX(COA!$C$5:$C$59,MATCH(JURNAL!E901,COA!$B$5:$B$59,0)),"")</f>
        <v/>
      </c>
      <c r="G901" s="204"/>
      <c r="H901" s="204"/>
    </row>
    <row r="902" spans="2:8" ht="15.75" customHeight="1" x14ac:dyDescent="0.2">
      <c r="B902" s="30"/>
      <c r="C902" s="24"/>
      <c r="D902" s="24"/>
      <c r="E902" s="24"/>
      <c r="F902" s="24" t="str">
        <f t="array" ref="F902">IFERROR(INDEX(COA!$C$5:$C$59,MATCH(JURNAL!E902,COA!$B$5:$B$59,0)),"")</f>
        <v/>
      </c>
      <c r="G902" s="204"/>
      <c r="H902" s="204"/>
    </row>
    <row r="903" spans="2:8" ht="15.75" customHeight="1" x14ac:dyDescent="0.2">
      <c r="B903" s="30"/>
      <c r="C903" s="24"/>
      <c r="D903" s="24"/>
      <c r="E903" s="24"/>
      <c r="F903" s="24" t="str">
        <f t="array" ref="F903">IFERROR(INDEX(COA!$C$5:$C$59,MATCH(JURNAL!E903,COA!$B$5:$B$59,0)),"")</f>
        <v/>
      </c>
      <c r="G903" s="204"/>
      <c r="H903" s="204"/>
    </row>
    <row r="904" spans="2:8" ht="15.75" customHeight="1" x14ac:dyDescent="0.2">
      <c r="B904" s="30"/>
      <c r="C904" s="24"/>
      <c r="D904" s="24"/>
      <c r="E904" s="24"/>
      <c r="F904" s="24" t="str">
        <f t="array" ref="F904">IFERROR(INDEX(COA!$C$5:$C$59,MATCH(JURNAL!E904,COA!$B$5:$B$59,0)),"")</f>
        <v/>
      </c>
      <c r="G904" s="204"/>
      <c r="H904" s="204"/>
    </row>
    <row r="905" spans="2:8" ht="15.75" customHeight="1" x14ac:dyDescent="0.2">
      <c r="B905" s="30"/>
      <c r="C905" s="24"/>
      <c r="D905" s="24"/>
      <c r="E905" s="24"/>
      <c r="F905" s="24" t="str">
        <f t="array" ref="F905">IFERROR(INDEX(COA!$C$5:$C$59,MATCH(JURNAL!E905,COA!$B$5:$B$59,0)),"")</f>
        <v/>
      </c>
      <c r="G905" s="204"/>
      <c r="H905" s="204"/>
    </row>
    <row r="906" spans="2:8" ht="15.75" customHeight="1" x14ac:dyDescent="0.2">
      <c r="B906" s="30"/>
      <c r="C906" s="24"/>
      <c r="D906" s="24"/>
      <c r="E906" s="24"/>
      <c r="F906" s="24" t="str">
        <f t="array" ref="F906">IFERROR(INDEX(COA!$C$5:$C$59,MATCH(JURNAL!E906,COA!$B$5:$B$59,0)),"")</f>
        <v/>
      </c>
      <c r="G906" s="204"/>
      <c r="H906" s="204"/>
    </row>
    <row r="907" spans="2:8" ht="15.75" customHeight="1" x14ac:dyDescent="0.2">
      <c r="B907" s="30"/>
      <c r="C907" s="24"/>
      <c r="D907" s="24"/>
      <c r="E907" s="24"/>
      <c r="F907" s="24" t="str">
        <f t="array" ref="F907">IFERROR(INDEX(COA!$C$5:$C$59,MATCH(JURNAL!E907,COA!$B$5:$B$59,0)),"")</f>
        <v/>
      </c>
      <c r="G907" s="204"/>
      <c r="H907" s="204"/>
    </row>
    <row r="908" spans="2:8" ht="15.75" customHeight="1" x14ac:dyDescent="0.2">
      <c r="B908" s="30"/>
      <c r="C908" s="24"/>
      <c r="D908" s="24"/>
      <c r="E908" s="24"/>
      <c r="F908" s="24" t="str">
        <f t="array" ref="F908">IFERROR(INDEX(COA!$C$5:$C$59,MATCH(JURNAL!E908,COA!$B$5:$B$59,0)),"")</f>
        <v/>
      </c>
      <c r="G908" s="204"/>
      <c r="H908" s="204"/>
    </row>
    <row r="909" spans="2:8" ht="15.75" customHeight="1" x14ac:dyDescent="0.2">
      <c r="B909" s="30"/>
      <c r="C909" s="24"/>
      <c r="D909" s="24"/>
      <c r="E909" s="24"/>
      <c r="F909" s="24" t="str">
        <f t="array" ref="F909">IFERROR(INDEX(COA!$C$5:$C$59,MATCH(JURNAL!E909,COA!$B$5:$B$59,0)),"")</f>
        <v/>
      </c>
      <c r="G909" s="204"/>
      <c r="H909" s="204"/>
    </row>
    <row r="910" spans="2:8" ht="15.75" customHeight="1" x14ac:dyDescent="0.2">
      <c r="B910" s="30"/>
      <c r="C910" s="24"/>
      <c r="D910" s="24"/>
      <c r="E910" s="24"/>
      <c r="F910" s="24" t="str">
        <f t="array" ref="F910">IFERROR(INDEX(COA!$C$5:$C$59,MATCH(JURNAL!E910,COA!$B$5:$B$59,0)),"")</f>
        <v/>
      </c>
      <c r="G910" s="204"/>
      <c r="H910" s="204"/>
    </row>
    <row r="911" spans="2:8" ht="15.75" customHeight="1" x14ac:dyDescent="0.2">
      <c r="B911" s="30"/>
      <c r="C911" s="24"/>
      <c r="D911" s="24"/>
      <c r="E911" s="24"/>
      <c r="F911" s="24" t="str">
        <f t="array" ref="F911">IFERROR(INDEX(COA!$C$5:$C$59,MATCH(JURNAL!E911,COA!$B$5:$B$59,0)),"")</f>
        <v/>
      </c>
      <c r="G911" s="204"/>
      <c r="H911" s="204"/>
    </row>
    <row r="912" spans="2:8" ht="15.75" customHeight="1" x14ac:dyDescent="0.2">
      <c r="B912" s="30"/>
      <c r="C912" s="24"/>
      <c r="D912" s="24"/>
      <c r="E912" s="24"/>
      <c r="F912" s="24" t="str">
        <f t="array" ref="F912">IFERROR(INDEX(COA!$C$5:$C$59,MATCH(JURNAL!E912,COA!$B$5:$B$59,0)),"")</f>
        <v/>
      </c>
      <c r="G912" s="204"/>
      <c r="H912" s="204"/>
    </row>
    <row r="913" spans="2:8" ht="15.75" customHeight="1" x14ac:dyDescent="0.2">
      <c r="B913" s="30"/>
      <c r="C913" s="24"/>
      <c r="D913" s="24"/>
      <c r="E913" s="24"/>
      <c r="F913" s="24" t="str">
        <f t="array" ref="F913">IFERROR(INDEX(COA!$C$5:$C$59,MATCH(JURNAL!E913,COA!$B$5:$B$59,0)),"")</f>
        <v/>
      </c>
      <c r="G913" s="204"/>
      <c r="H913" s="204"/>
    </row>
    <row r="914" spans="2:8" ht="15.75" customHeight="1" x14ac:dyDescent="0.2">
      <c r="B914" s="30"/>
      <c r="C914" s="24"/>
      <c r="D914" s="24"/>
      <c r="E914" s="24"/>
      <c r="F914" s="24" t="str">
        <f t="array" ref="F914">IFERROR(INDEX(COA!$C$5:$C$59,MATCH(JURNAL!E914,COA!$B$5:$B$59,0)),"")</f>
        <v/>
      </c>
      <c r="G914" s="204"/>
      <c r="H914" s="204"/>
    </row>
    <row r="915" spans="2:8" ht="15.75" customHeight="1" x14ac:dyDescent="0.2">
      <c r="B915" s="30"/>
      <c r="C915" s="24"/>
      <c r="D915" s="24"/>
      <c r="E915" s="24"/>
      <c r="F915" s="24" t="str">
        <f t="array" ref="F915">IFERROR(INDEX(COA!$C$5:$C$59,MATCH(JURNAL!E915,COA!$B$5:$B$59,0)),"")</f>
        <v/>
      </c>
      <c r="G915" s="204"/>
      <c r="H915" s="204"/>
    </row>
    <row r="916" spans="2:8" ht="15.75" customHeight="1" x14ac:dyDescent="0.2">
      <c r="B916" s="30"/>
      <c r="C916" s="24"/>
      <c r="D916" s="24"/>
      <c r="E916" s="24"/>
      <c r="F916" s="24" t="str">
        <f t="array" ref="F916">IFERROR(INDEX(COA!$C$5:$C$59,MATCH(JURNAL!E916,COA!$B$5:$B$59,0)),"")</f>
        <v/>
      </c>
      <c r="G916" s="204"/>
      <c r="H916" s="204"/>
    </row>
    <row r="917" spans="2:8" ht="15.75" customHeight="1" x14ac:dyDescent="0.2">
      <c r="B917" s="30"/>
      <c r="C917" s="24"/>
      <c r="D917" s="24"/>
      <c r="E917" s="24"/>
      <c r="F917" s="24" t="str">
        <f t="array" ref="F917">IFERROR(INDEX(COA!$C$5:$C$59,MATCH(JURNAL!E917,COA!$B$5:$B$59,0)),"")</f>
        <v/>
      </c>
      <c r="G917" s="204"/>
      <c r="H917" s="204"/>
    </row>
    <row r="918" spans="2:8" ht="15.75" customHeight="1" x14ac:dyDescent="0.2">
      <c r="B918" s="30"/>
      <c r="C918" s="24"/>
      <c r="D918" s="24"/>
      <c r="E918" s="24"/>
      <c r="F918" s="24" t="str">
        <f t="array" ref="F918">IFERROR(INDEX(COA!$C$5:$C$59,MATCH(JURNAL!E918,COA!$B$5:$B$59,0)),"")</f>
        <v/>
      </c>
      <c r="G918" s="204"/>
      <c r="H918" s="204"/>
    </row>
    <row r="919" spans="2:8" ht="15.75" customHeight="1" x14ac:dyDescent="0.2">
      <c r="B919" s="30"/>
      <c r="C919" s="24"/>
      <c r="D919" s="24"/>
      <c r="E919" s="24"/>
      <c r="F919" s="24" t="str">
        <f t="array" ref="F919">IFERROR(INDEX(COA!$C$5:$C$59,MATCH(JURNAL!E919,COA!$B$5:$B$59,0)),"")</f>
        <v/>
      </c>
      <c r="G919" s="204"/>
      <c r="H919" s="204"/>
    </row>
    <row r="920" spans="2:8" ht="15.75" customHeight="1" x14ac:dyDescent="0.2">
      <c r="B920" s="30"/>
      <c r="C920" s="24"/>
      <c r="D920" s="24"/>
      <c r="E920" s="24"/>
      <c r="F920" s="24" t="str">
        <f t="array" ref="F920">IFERROR(INDEX(COA!$C$5:$C$59,MATCH(JURNAL!E920,COA!$B$5:$B$59,0)),"")</f>
        <v/>
      </c>
      <c r="G920" s="204"/>
      <c r="H920" s="204"/>
    </row>
    <row r="921" spans="2:8" ht="15.75" customHeight="1" x14ac:dyDescent="0.2">
      <c r="B921" s="30"/>
      <c r="C921" s="24"/>
      <c r="D921" s="24"/>
      <c r="E921" s="24"/>
      <c r="F921" s="24" t="str">
        <f t="array" ref="F921">IFERROR(INDEX(COA!$C$5:$C$59,MATCH(JURNAL!E921,COA!$B$5:$B$59,0)),"")</f>
        <v/>
      </c>
      <c r="G921" s="204"/>
      <c r="H921" s="204"/>
    </row>
    <row r="922" spans="2:8" ht="15.75" customHeight="1" x14ac:dyDescent="0.2">
      <c r="B922" s="30"/>
      <c r="C922" s="24"/>
      <c r="D922" s="24"/>
      <c r="E922" s="24"/>
      <c r="F922" s="24" t="str">
        <f t="array" ref="F922">IFERROR(INDEX(COA!$C$5:$C$59,MATCH(JURNAL!E922,COA!$B$5:$B$59,0)),"")</f>
        <v/>
      </c>
      <c r="G922" s="204"/>
      <c r="H922" s="204"/>
    </row>
    <row r="923" spans="2:8" ht="15.75" customHeight="1" x14ac:dyDescent="0.2">
      <c r="B923" s="30"/>
      <c r="C923" s="24"/>
      <c r="D923" s="24"/>
      <c r="E923" s="24"/>
      <c r="F923" s="24" t="str">
        <f t="array" ref="F923">IFERROR(INDEX(COA!$C$5:$C$59,MATCH(JURNAL!E923,COA!$B$5:$B$59,0)),"")</f>
        <v/>
      </c>
      <c r="G923" s="204"/>
      <c r="H923" s="204"/>
    </row>
    <row r="924" spans="2:8" ht="15.75" customHeight="1" x14ac:dyDescent="0.2">
      <c r="B924" s="30"/>
      <c r="C924" s="24"/>
      <c r="D924" s="24"/>
      <c r="E924" s="24"/>
      <c r="F924" s="24" t="str">
        <f t="array" ref="F924">IFERROR(INDEX(COA!$C$5:$C$59,MATCH(JURNAL!E924,COA!$B$5:$B$59,0)),"")</f>
        <v/>
      </c>
      <c r="G924" s="204"/>
      <c r="H924" s="204"/>
    </row>
    <row r="925" spans="2:8" ht="15.75" customHeight="1" x14ac:dyDescent="0.2">
      <c r="B925" s="30"/>
      <c r="C925" s="24"/>
      <c r="D925" s="24"/>
      <c r="E925" s="24"/>
      <c r="F925" s="24" t="str">
        <f t="array" ref="F925">IFERROR(INDEX(COA!$C$5:$C$59,MATCH(JURNAL!E925,COA!$B$5:$B$59,0)),"")</f>
        <v/>
      </c>
      <c r="G925" s="204"/>
      <c r="H925" s="204"/>
    </row>
    <row r="926" spans="2:8" ht="15.75" customHeight="1" x14ac:dyDescent="0.2">
      <c r="B926" s="30"/>
      <c r="C926" s="24"/>
      <c r="D926" s="24"/>
      <c r="E926" s="24"/>
      <c r="F926" s="24" t="str">
        <f t="array" ref="F926">IFERROR(INDEX(COA!$C$5:$C$59,MATCH(JURNAL!E926,COA!$B$5:$B$59,0)),"")</f>
        <v/>
      </c>
      <c r="G926" s="204"/>
      <c r="H926" s="204"/>
    </row>
    <row r="927" spans="2:8" ht="15.75" customHeight="1" x14ac:dyDescent="0.2">
      <c r="B927" s="30"/>
      <c r="C927" s="24"/>
      <c r="D927" s="24"/>
      <c r="E927" s="24"/>
      <c r="F927" s="24" t="str">
        <f t="array" ref="F927">IFERROR(INDEX(COA!$C$5:$C$59,MATCH(JURNAL!E927,COA!$B$5:$B$59,0)),"")</f>
        <v/>
      </c>
      <c r="G927" s="204"/>
      <c r="H927" s="204"/>
    </row>
    <row r="928" spans="2:8" ht="15.75" customHeight="1" x14ac:dyDescent="0.2">
      <c r="B928" s="30"/>
      <c r="C928" s="24"/>
      <c r="D928" s="24"/>
      <c r="E928" s="24"/>
      <c r="F928" s="24" t="str">
        <f t="array" ref="F928">IFERROR(INDEX(COA!$C$5:$C$59,MATCH(JURNAL!E928,COA!$B$5:$B$59,0)),"")</f>
        <v/>
      </c>
      <c r="G928" s="204"/>
      <c r="H928" s="204"/>
    </row>
    <row r="929" spans="2:8" ht="15.75" customHeight="1" x14ac:dyDescent="0.2">
      <c r="B929" s="30"/>
      <c r="C929" s="24"/>
      <c r="D929" s="24"/>
      <c r="E929" s="24"/>
      <c r="F929" s="24" t="str">
        <f t="array" ref="F929">IFERROR(INDEX(COA!$C$5:$C$59,MATCH(JURNAL!E929,COA!$B$5:$B$59,0)),"")</f>
        <v/>
      </c>
      <c r="G929" s="204"/>
      <c r="H929" s="204"/>
    </row>
    <row r="930" spans="2:8" ht="15.75" customHeight="1" x14ac:dyDescent="0.2">
      <c r="B930" s="30"/>
      <c r="C930" s="24"/>
      <c r="D930" s="24"/>
      <c r="E930" s="24"/>
      <c r="F930" s="24" t="str">
        <f t="array" ref="F930">IFERROR(INDEX(COA!$C$5:$C$59,MATCH(JURNAL!E930,COA!$B$5:$B$59,0)),"")</f>
        <v/>
      </c>
      <c r="G930" s="204"/>
      <c r="H930" s="204"/>
    </row>
    <row r="931" spans="2:8" ht="15.75" customHeight="1" x14ac:dyDescent="0.2">
      <c r="B931" s="30"/>
      <c r="C931" s="24"/>
      <c r="D931" s="24"/>
      <c r="E931" s="24"/>
      <c r="F931" s="24" t="str">
        <f t="array" ref="F931">IFERROR(INDEX(COA!$C$5:$C$59,MATCH(JURNAL!E931,COA!$B$5:$B$59,0)),"")</f>
        <v/>
      </c>
      <c r="G931" s="204"/>
      <c r="H931" s="204"/>
    </row>
    <row r="932" spans="2:8" ht="15.75" customHeight="1" x14ac:dyDescent="0.2">
      <c r="B932" s="30"/>
      <c r="C932" s="24"/>
      <c r="D932" s="24"/>
      <c r="E932" s="24"/>
      <c r="F932" s="24" t="str">
        <f t="array" ref="F932">IFERROR(INDEX(COA!$C$5:$C$59,MATCH(JURNAL!E932,COA!$B$5:$B$59,0)),"")</f>
        <v/>
      </c>
      <c r="G932" s="204"/>
      <c r="H932" s="204"/>
    </row>
    <row r="933" spans="2:8" ht="15.75" customHeight="1" x14ac:dyDescent="0.2">
      <c r="B933" s="30"/>
      <c r="C933" s="24"/>
      <c r="D933" s="24"/>
      <c r="E933" s="24"/>
      <c r="F933" s="24" t="str">
        <f t="array" ref="F933">IFERROR(INDEX(COA!$C$5:$C$59,MATCH(JURNAL!E933,COA!$B$5:$B$59,0)),"")</f>
        <v/>
      </c>
      <c r="G933" s="204"/>
      <c r="H933" s="204"/>
    </row>
    <row r="934" spans="2:8" ht="15.75" customHeight="1" x14ac:dyDescent="0.2">
      <c r="B934" s="30"/>
      <c r="C934" s="24"/>
      <c r="D934" s="24"/>
      <c r="E934" s="24"/>
      <c r="F934" s="24" t="str">
        <f t="array" ref="F934">IFERROR(INDEX(COA!$C$5:$C$59,MATCH(JURNAL!E934,COA!$B$5:$B$59,0)),"")</f>
        <v/>
      </c>
      <c r="G934" s="204"/>
      <c r="H934" s="204"/>
    </row>
    <row r="935" spans="2:8" ht="15.75" customHeight="1" x14ac:dyDescent="0.2">
      <c r="B935" s="30"/>
      <c r="C935" s="24"/>
      <c r="D935" s="24"/>
      <c r="E935" s="24"/>
      <c r="F935" s="24" t="str">
        <f t="array" ref="F935">IFERROR(INDEX(COA!$C$5:$C$59,MATCH(JURNAL!E935,COA!$B$5:$B$59,0)),"")</f>
        <v/>
      </c>
      <c r="G935" s="204"/>
      <c r="H935" s="204"/>
    </row>
    <row r="936" spans="2:8" ht="15.75" customHeight="1" x14ac:dyDescent="0.2">
      <c r="B936" s="30"/>
      <c r="C936" s="24"/>
      <c r="D936" s="24"/>
      <c r="E936" s="24"/>
      <c r="F936" s="24" t="str">
        <f t="array" ref="F936">IFERROR(INDEX(COA!$C$5:$C$59,MATCH(JURNAL!E936,COA!$B$5:$B$59,0)),"")</f>
        <v/>
      </c>
      <c r="G936" s="204"/>
      <c r="H936" s="204"/>
    </row>
    <row r="937" spans="2:8" ht="15.75" customHeight="1" x14ac:dyDescent="0.2">
      <c r="B937" s="30"/>
      <c r="C937" s="24"/>
      <c r="D937" s="24"/>
      <c r="E937" s="24"/>
      <c r="F937" s="24" t="str">
        <f t="array" ref="F937">IFERROR(INDEX(COA!$C$5:$C$59,MATCH(JURNAL!E937,COA!$B$5:$B$59,0)),"")</f>
        <v/>
      </c>
      <c r="G937" s="204"/>
      <c r="H937" s="204"/>
    </row>
    <row r="938" spans="2:8" ht="15.75" customHeight="1" x14ac:dyDescent="0.2">
      <c r="B938" s="30"/>
      <c r="C938" s="24"/>
      <c r="D938" s="24"/>
      <c r="E938" s="24"/>
      <c r="F938" s="24" t="str">
        <f t="array" ref="F938">IFERROR(INDEX(COA!$C$5:$C$59,MATCH(JURNAL!E938,COA!$B$5:$B$59,0)),"")</f>
        <v/>
      </c>
      <c r="G938" s="204"/>
      <c r="H938" s="204"/>
    </row>
    <row r="939" spans="2:8" ht="15.75" customHeight="1" x14ac:dyDescent="0.2">
      <c r="B939" s="30"/>
      <c r="C939" s="24"/>
      <c r="D939" s="24"/>
      <c r="E939" s="24"/>
      <c r="F939" s="24" t="str">
        <f t="array" ref="F939">IFERROR(INDEX(COA!$C$5:$C$59,MATCH(JURNAL!E939,COA!$B$5:$B$59,0)),"")</f>
        <v/>
      </c>
      <c r="G939" s="204"/>
      <c r="H939" s="204"/>
    </row>
    <row r="940" spans="2:8" ht="15.75" customHeight="1" x14ac:dyDescent="0.2">
      <c r="B940" s="30"/>
      <c r="C940" s="24"/>
      <c r="D940" s="24"/>
      <c r="E940" s="24"/>
      <c r="F940" s="24" t="str">
        <f t="array" ref="F940">IFERROR(INDEX(COA!$C$5:$C$59,MATCH(JURNAL!E940,COA!$B$5:$B$59,0)),"")</f>
        <v/>
      </c>
      <c r="G940" s="204"/>
      <c r="H940" s="204"/>
    </row>
    <row r="941" spans="2:8" ht="15.75" customHeight="1" x14ac:dyDescent="0.2">
      <c r="B941" s="30"/>
      <c r="C941" s="24"/>
      <c r="D941" s="24"/>
      <c r="E941" s="24"/>
      <c r="F941" s="24" t="str">
        <f t="array" ref="F941">IFERROR(INDEX(COA!$C$5:$C$59,MATCH(JURNAL!E941,COA!$B$5:$B$59,0)),"")</f>
        <v/>
      </c>
      <c r="G941" s="204"/>
      <c r="H941" s="204"/>
    </row>
    <row r="942" spans="2:8" ht="15.75" customHeight="1" x14ac:dyDescent="0.2">
      <c r="B942" s="30"/>
      <c r="C942" s="24"/>
      <c r="D942" s="24"/>
      <c r="E942" s="24"/>
      <c r="F942" s="24" t="str">
        <f t="array" ref="F942">IFERROR(INDEX(COA!$C$5:$C$59,MATCH(JURNAL!E942,COA!$B$5:$B$59,0)),"")</f>
        <v/>
      </c>
      <c r="G942" s="204"/>
      <c r="H942" s="204"/>
    </row>
    <row r="943" spans="2:8" ht="15.75" customHeight="1" x14ac:dyDescent="0.2">
      <c r="B943" s="30"/>
      <c r="C943" s="24"/>
      <c r="D943" s="24"/>
      <c r="E943" s="24"/>
      <c r="F943" s="24" t="str">
        <f t="array" ref="F943">IFERROR(INDEX(COA!$C$5:$C$59,MATCH(JURNAL!E943,COA!$B$5:$B$59,0)),"")</f>
        <v/>
      </c>
      <c r="G943" s="204"/>
      <c r="H943" s="204"/>
    </row>
    <row r="944" spans="2:8" ht="15.75" customHeight="1" x14ac:dyDescent="0.2">
      <c r="B944" s="30"/>
      <c r="C944" s="24"/>
      <c r="D944" s="24"/>
      <c r="E944" s="24"/>
      <c r="F944" s="24" t="str">
        <f t="array" ref="F944">IFERROR(INDEX(COA!$C$5:$C$59,MATCH(JURNAL!E944,COA!$B$5:$B$59,0)),"")</f>
        <v/>
      </c>
      <c r="G944" s="204"/>
      <c r="H944" s="204"/>
    </row>
    <row r="945" spans="2:8" ht="15.75" customHeight="1" x14ac:dyDescent="0.2">
      <c r="B945" s="30"/>
      <c r="C945" s="24"/>
      <c r="D945" s="24"/>
      <c r="E945" s="24"/>
      <c r="F945" s="24" t="str">
        <f t="array" ref="F945">IFERROR(INDEX(COA!$C$5:$C$59,MATCH(JURNAL!E945,COA!$B$5:$B$59,0)),"")</f>
        <v/>
      </c>
      <c r="G945" s="204"/>
      <c r="H945" s="204"/>
    </row>
    <row r="946" spans="2:8" ht="15.75" customHeight="1" x14ac:dyDescent="0.2">
      <c r="B946" s="30"/>
      <c r="C946" s="24"/>
      <c r="D946" s="24"/>
      <c r="E946" s="24"/>
      <c r="F946" s="24" t="str">
        <f t="array" ref="F946">IFERROR(INDEX(COA!$C$5:$C$59,MATCH(JURNAL!E946,COA!$B$5:$B$59,0)),"")</f>
        <v/>
      </c>
      <c r="G946" s="204"/>
      <c r="H946" s="204"/>
    </row>
    <row r="947" spans="2:8" ht="15.75" customHeight="1" x14ac:dyDescent="0.2">
      <c r="B947" s="30"/>
      <c r="C947" s="24"/>
      <c r="D947" s="24"/>
      <c r="E947" s="24"/>
      <c r="F947" s="24" t="str">
        <f t="array" ref="F947">IFERROR(INDEX(COA!$C$5:$C$59,MATCH(JURNAL!E947,COA!$B$5:$B$59,0)),"")</f>
        <v/>
      </c>
      <c r="G947" s="204"/>
      <c r="H947" s="204"/>
    </row>
    <row r="948" spans="2:8" ht="15.75" customHeight="1" x14ac:dyDescent="0.2">
      <c r="B948" s="30"/>
      <c r="C948" s="24"/>
      <c r="D948" s="24"/>
      <c r="E948" s="24"/>
      <c r="F948" s="24" t="str">
        <f t="array" ref="F948">IFERROR(INDEX(COA!$C$5:$C$59,MATCH(JURNAL!E948,COA!$B$5:$B$59,0)),"")</f>
        <v/>
      </c>
      <c r="G948" s="204"/>
      <c r="H948" s="204"/>
    </row>
    <row r="949" spans="2:8" ht="15.75" customHeight="1" x14ac:dyDescent="0.2">
      <c r="B949" s="30"/>
      <c r="C949" s="24"/>
      <c r="D949" s="24"/>
      <c r="E949" s="24"/>
      <c r="F949" s="24" t="str">
        <f t="array" ref="F949">IFERROR(INDEX(COA!$C$5:$C$59,MATCH(JURNAL!E949,COA!$B$5:$B$59,0)),"")</f>
        <v/>
      </c>
      <c r="G949" s="204"/>
      <c r="H949" s="204"/>
    </row>
    <row r="950" spans="2:8" ht="15.75" customHeight="1" x14ac:dyDescent="0.2">
      <c r="B950" s="30"/>
      <c r="C950" s="24"/>
      <c r="D950" s="24"/>
      <c r="E950" s="24"/>
      <c r="F950" s="24" t="str">
        <f t="array" ref="F950">IFERROR(INDEX(COA!$C$5:$C$59,MATCH(JURNAL!E950,COA!$B$5:$B$59,0)),"")</f>
        <v/>
      </c>
      <c r="G950" s="204"/>
      <c r="H950" s="204"/>
    </row>
    <row r="951" spans="2:8" ht="15.75" customHeight="1" x14ac:dyDescent="0.2">
      <c r="B951" s="30"/>
      <c r="C951" s="24"/>
      <c r="D951" s="24"/>
      <c r="E951" s="24"/>
      <c r="F951" s="24" t="str">
        <f t="array" ref="F951">IFERROR(INDEX(COA!$C$5:$C$59,MATCH(JURNAL!E951,COA!$B$5:$B$59,0)),"")</f>
        <v/>
      </c>
      <c r="G951" s="204"/>
      <c r="H951" s="204"/>
    </row>
    <row r="952" spans="2:8" ht="15.75" customHeight="1" x14ac:dyDescent="0.2">
      <c r="B952" s="30"/>
      <c r="C952" s="24"/>
      <c r="D952" s="24"/>
      <c r="E952" s="24"/>
      <c r="F952" s="24" t="str">
        <f t="array" ref="F952">IFERROR(INDEX(COA!$C$5:$C$59,MATCH(JURNAL!E952,COA!$B$5:$B$59,0)),"")</f>
        <v/>
      </c>
      <c r="G952" s="204"/>
      <c r="H952" s="204"/>
    </row>
    <row r="953" spans="2:8" ht="15.75" customHeight="1" x14ac:dyDescent="0.2">
      <c r="B953" s="30"/>
      <c r="C953" s="24"/>
      <c r="D953" s="24"/>
      <c r="E953" s="24"/>
      <c r="F953" s="24" t="str">
        <f t="array" ref="F953">IFERROR(INDEX(COA!$C$5:$C$59,MATCH(JURNAL!E953,COA!$B$5:$B$59,0)),"")</f>
        <v/>
      </c>
      <c r="G953" s="204"/>
      <c r="H953" s="204"/>
    </row>
    <row r="954" spans="2:8" ht="15.75" customHeight="1" x14ac:dyDescent="0.2">
      <c r="B954" s="30"/>
      <c r="C954" s="24"/>
      <c r="D954" s="24"/>
      <c r="E954" s="24"/>
      <c r="F954" s="24" t="str">
        <f t="array" ref="F954">IFERROR(INDEX(COA!$C$5:$C$59,MATCH(JURNAL!E954,COA!$B$5:$B$59,0)),"")</f>
        <v/>
      </c>
      <c r="G954" s="204"/>
      <c r="H954" s="204"/>
    </row>
    <row r="955" spans="2:8" ht="15.75" customHeight="1" x14ac:dyDescent="0.2">
      <c r="B955" s="30"/>
      <c r="C955" s="24"/>
      <c r="D955" s="24"/>
      <c r="E955" s="24"/>
      <c r="F955" s="24" t="str">
        <f t="array" ref="F955">IFERROR(INDEX(COA!$C$5:$C$59,MATCH(JURNAL!E955,COA!$B$5:$B$59,0)),"")</f>
        <v/>
      </c>
      <c r="G955" s="204"/>
      <c r="H955" s="204"/>
    </row>
    <row r="956" spans="2:8" ht="15.75" customHeight="1" x14ac:dyDescent="0.2">
      <c r="B956" s="30"/>
      <c r="C956" s="24"/>
      <c r="D956" s="24"/>
      <c r="E956" s="24"/>
      <c r="F956" s="24" t="str">
        <f t="array" ref="F956">IFERROR(INDEX(COA!$C$5:$C$59,MATCH(JURNAL!E956,COA!$B$5:$B$59,0)),"")</f>
        <v/>
      </c>
      <c r="G956" s="204"/>
      <c r="H956" s="204"/>
    </row>
    <row r="957" spans="2:8" ht="15.75" customHeight="1" x14ac:dyDescent="0.2">
      <c r="B957" s="30"/>
      <c r="C957" s="24"/>
      <c r="D957" s="24"/>
      <c r="E957" s="24"/>
      <c r="F957" s="24" t="str">
        <f t="array" ref="F957">IFERROR(INDEX(COA!$C$5:$C$59,MATCH(JURNAL!E957,COA!$B$5:$B$59,0)),"")</f>
        <v/>
      </c>
      <c r="G957" s="204"/>
      <c r="H957" s="204"/>
    </row>
    <row r="958" spans="2:8" ht="15.75" customHeight="1" x14ac:dyDescent="0.2">
      <c r="B958" s="30"/>
      <c r="C958" s="24"/>
      <c r="D958" s="24"/>
      <c r="E958" s="24"/>
      <c r="F958" s="24" t="str">
        <f t="array" ref="F958">IFERROR(INDEX(COA!$C$5:$C$59,MATCH(JURNAL!E958,COA!$B$5:$B$59,0)),"")</f>
        <v/>
      </c>
      <c r="G958" s="204"/>
      <c r="H958" s="204"/>
    </row>
    <row r="959" spans="2:8" ht="15.75" customHeight="1" x14ac:dyDescent="0.2">
      <c r="B959" s="30"/>
      <c r="C959" s="24"/>
      <c r="D959" s="24"/>
      <c r="E959" s="24"/>
      <c r="F959" s="24" t="str">
        <f t="array" ref="F959">IFERROR(INDEX(COA!$C$5:$C$59,MATCH(JURNAL!E959,COA!$B$5:$B$59,0)),"")</f>
        <v/>
      </c>
      <c r="G959" s="204"/>
      <c r="H959" s="204"/>
    </row>
    <row r="960" spans="2:8" ht="15.75" customHeight="1" x14ac:dyDescent="0.2">
      <c r="B960" s="30"/>
      <c r="C960" s="24"/>
      <c r="D960" s="24"/>
      <c r="E960" s="24"/>
      <c r="F960" s="24" t="str">
        <f t="array" ref="F960">IFERROR(INDEX(COA!$C$5:$C$59,MATCH(JURNAL!E960,COA!$B$5:$B$59,0)),"")</f>
        <v/>
      </c>
      <c r="G960" s="204"/>
      <c r="H960" s="204"/>
    </row>
    <row r="961" spans="2:8" ht="15.75" customHeight="1" x14ac:dyDescent="0.2">
      <c r="B961" s="30"/>
      <c r="C961" s="24"/>
      <c r="D961" s="24"/>
      <c r="E961" s="24"/>
      <c r="F961" s="24" t="str">
        <f t="array" ref="F961">IFERROR(INDEX(COA!$C$5:$C$59,MATCH(JURNAL!E961,COA!$B$5:$B$59,0)),"")</f>
        <v/>
      </c>
      <c r="G961" s="204"/>
      <c r="H961" s="204"/>
    </row>
    <row r="962" spans="2:8" ht="15.75" customHeight="1" x14ac:dyDescent="0.2">
      <c r="B962" s="30"/>
      <c r="C962" s="24"/>
      <c r="D962" s="24"/>
      <c r="E962" s="24"/>
      <c r="F962" s="24" t="str">
        <f t="array" ref="F962">IFERROR(INDEX(COA!$C$5:$C$59,MATCH(JURNAL!E962,COA!$B$5:$B$59,0)),"")</f>
        <v/>
      </c>
      <c r="G962" s="204"/>
      <c r="H962" s="204"/>
    </row>
    <row r="963" spans="2:8" ht="15.75" customHeight="1" x14ac:dyDescent="0.2">
      <c r="B963" s="30"/>
      <c r="C963" s="24"/>
      <c r="D963" s="24"/>
      <c r="E963" s="24"/>
      <c r="F963" s="24" t="str">
        <f t="array" ref="F963">IFERROR(INDEX(COA!$C$5:$C$59,MATCH(JURNAL!E963,COA!$B$5:$B$59,0)),"")</f>
        <v/>
      </c>
      <c r="G963" s="204"/>
      <c r="H963" s="204"/>
    </row>
    <row r="964" spans="2:8" ht="15.75" customHeight="1" x14ac:dyDescent="0.2">
      <c r="B964" s="30"/>
      <c r="C964" s="24"/>
      <c r="D964" s="24"/>
      <c r="E964" s="24"/>
      <c r="F964" s="24" t="str">
        <f t="array" ref="F964">IFERROR(INDEX(COA!$C$5:$C$59,MATCH(JURNAL!E964,COA!$B$5:$B$59,0)),"")</f>
        <v/>
      </c>
      <c r="G964" s="204"/>
      <c r="H964" s="204"/>
    </row>
    <row r="965" spans="2:8" ht="15.75" customHeight="1" x14ac:dyDescent="0.2">
      <c r="B965" s="30"/>
      <c r="C965" s="24"/>
      <c r="D965" s="24"/>
      <c r="E965" s="24"/>
      <c r="F965" s="24" t="str">
        <f t="array" ref="F965">IFERROR(INDEX(COA!$C$5:$C$59,MATCH(JURNAL!E965,COA!$B$5:$B$59,0)),"")</f>
        <v/>
      </c>
      <c r="G965" s="204"/>
      <c r="H965" s="204"/>
    </row>
    <row r="966" spans="2:8" ht="15.75" customHeight="1" x14ac:dyDescent="0.2">
      <c r="B966" s="30"/>
      <c r="C966" s="24"/>
      <c r="D966" s="24"/>
      <c r="E966" s="24"/>
      <c r="F966" s="24" t="str">
        <f t="array" ref="F966">IFERROR(INDEX(COA!$C$5:$C$59,MATCH(JURNAL!E966,COA!$B$5:$B$59,0)),"")</f>
        <v/>
      </c>
      <c r="G966" s="204"/>
      <c r="H966" s="204"/>
    </row>
    <row r="967" spans="2:8" ht="15.75" customHeight="1" x14ac:dyDescent="0.2">
      <c r="B967" s="30"/>
      <c r="C967" s="24"/>
      <c r="D967" s="24"/>
      <c r="E967" s="24"/>
      <c r="F967" s="24" t="str">
        <f t="array" ref="F967">IFERROR(INDEX(COA!$C$5:$C$59,MATCH(JURNAL!E967,COA!$B$5:$B$59,0)),"")</f>
        <v/>
      </c>
      <c r="G967" s="204"/>
      <c r="H967" s="204"/>
    </row>
    <row r="968" spans="2:8" ht="15.75" customHeight="1" x14ac:dyDescent="0.2">
      <c r="B968" s="30"/>
      <c r="C968" s="24"/>
      <c r="D968" s="24"/>
      <c r="E968" s="24"/>
      <c r="F968" s="24" t="str">
        <f t="array" ref="F968">IFERROR(INDEX(COA!$C$5:$C$59,MATCH(JURNAL!E968,COA!$B$5:$B$59,0)),"")</f>
        <v/>
      </c>
      <c r="G968" s="204"/>
      <c r="H968" s="204"/>
    </row>
    <row r="969" spans="2:8" ht="15.75" customHeight="1" x14ac:dyDescent="0.2">
      <c r="B969" s="30"/>
      <c r="C969" s="24"/>
      <c r="D969" s="24"/>
      <c r="E969" s="24"/>
      <c r="F969" s="24" t="str">
        <f t="array" ref="F969">IFERROR(INDEX(COA!$C$5:$C$59,MATCH(JURNAL!E969,COA!$B$5:$B$59,0)),"")</f>
        <v/>
      </c>
      <c r="G969" s="204"/>
      <c r="H969" s="204"/>
    </row>
    <row r="970" spans="2:8" ht="15.75" customHeight="1" x14ac:dyDescent="0.2">
      <c r="B970" s="30"/>
      <c r="C970" s="24"/>
      <c r="D970" s="24"/>
      <c r="E970" s="24"/>
      <c r="F970" s="24" t="str">
        <f t="array" ref="F970">IFERROR(INDEX(COA!$C$5:$C$59,MATCH(JURNAL!E970,COA!$B$5:$B$59,0)),"")</f>
        <v/>
      </c>
      <c r="G970" s="204"/>
      <c r="H970" s="204"/>
    </row>
    <row r="971" spans="2:8" ht="15.75" customHeight="1" x14ac:dyDescent="0.2">
      <c r="B971" s="30"/>
      <c r="C971" s="24"/>
      <c r="D971" s="24"/>
      <c r="E971" s="24"/>
      <c r="F971" s="24" t="str">
        <f t="array" ref="F971">IFERROR(INDEX(COA!$C$5:$C$59,MATCH(JURNAL!E971,COA!$B$5:$B$59,0)),"")</f>
        <v/>
      </c>
      <c r="G971" s="204"/>
      <c r="H971" s="204"/>
    </row>
    <row r="972" spans="2:8" ht="15.75" customHeight="1" x14ac:dyDescent="0.2">
      <c r="B972" s="30"/>
      <c r="C972" s="24"/>
      <c r="D972" s="24"/>
      <c r="E972" s="24"/>
      <c r="F972" s="24" t="str">
        <f t="array" ref="F972">IFERROR(INDEX(COA!$C$5:$C$59,MATCH(JURNAL!E972,COA!$B$5:$B$59,0)),"")</f>
        <v/>
      </c>
      <c r="G972" s="204"/>
      <c r="H972" s="204"/>
    </row>
    <row r="973" spans="2:8" ht="15.75" customHeight="1" x14ac:dyDescent="0.2">
      <c r="B973" s="30"/>
      <c r="C973" s="24"/>
      <c r="D973" s="24"/>
      <c r="E973" s="24"/>
      <c r="F973" s="24" t="str">
        <f t="array" ref="F973">IFERROR(INDEX(COA!$C$5:$C$59,MATCH(JURNAL!E973,COA!$B$5:$B$59,0)),"")</f>
        <v/>
      </c>
      <c r="G973" s="204"/>
      <c r="H973" s="204"/>
    </row>
    <row r="974" spans="2:8" ht="15.75" customHeight="1" x14ac:dyDescent="0.2">
      <c r="B974" s="30"/>
      <c r="C974" s="24"/>
      <c r="D974" s="24"/>
      <c r="E974" s="24"/>
      <c r="F974" s="24" t="str">
        <f t="array" ref="F974">IFERROR(INDEX(COA!$C$5:$C$59,MATCH(JURNAL!E974,COA!$B$5:$B$59,0)),"")</f>
        <v/>
      </c>
      <c r="G974" s="204"/>
      <c r="H974" s="204"/>
    </row>
    <row r="975" spans="2:8" ht="15.75" customHeight="1" x14ac:dyDescent="0.2">
      <c r="B975" s="30"/>
      <c r="C975" s="24"/>
      <c r="D975" s="24"/>
      <c r="E975" s="24"/>
      <c r="F975" s="24" t="str">
        <f t="array" ref="F975">IFERROR(INDEX(COA!$C$5:$C$59,MATCH(JURNAL!E975,COA!$B$5:$B$59,0)),"")</f>
        <v/>
      </c>
      <c r="G975" s="204"/>
      <c r="H975" s="204"/>
    </row>
    <row r="976" spans="2:8" ht="15.75" customHeight="1" x14ac:dyDescent="0.2">
      <c r="B976" s="30"/>
      <c r="C976" s="24"/>
      <c r="D976" s="24"/>
      <c r="E976" s="24"/>
      <c r="F976" s="24" t="str">
        <f t="array" ref="F976">IFERROR(INDEX(COA!$C$5:$C$59,MATCH(JURNAL!E976,COA!$B$5:$B$59,0)),"")</f>
        <v/>
      </c>
      <c r="G976" s="204"/>
      <c r="H976" s="204"/>
    </row>
    <row r="977" spans="2:8" ht="15.75" customHeight="1" x14ac:dyDescent="0.2">
      <c r="B977" s="30"/>
      <c r="C977" s="24"/>
      <c r="D977" s="24"/>
      <c r="E977" s="24"/>
      <c r="F977" s="24" t="str">
        <f t="array" ref="F977">IFERROR(INDEX(COA!$C$5:$C$59,MATCH(JURNAL!E977,COA!$B$5:$B$59,0)),"")</f>
        <v/>
      </c>
      <c r="G977" s="204"/>
      <c r="H977" s="204"/>
    </row>
    <row r="978" spans="2:8" ht="15.75" customHeight="1" x14ac:dyDescent="0.2">
      <c r="B978" s="30"/>
      <c r="C978" s="24"/>
      <c r="D978" s="24"/>
      <c r="E978" s="24"/>
      <c r="F978" s="24" t="str">
        <f t="array" ref="F978">IFERROR(INDEX(COA!$C$5:$C$59,MATCH(JURNAL!E978,COA!$B$5:$B$59,0)),"")</f>
        <v/>
      </c>
      <c r="G978" s="204"/>
      <c r="H978" s="204"/>
    </row>
    <row r="979" spans="2:8" ht="15.75" customHeight="1" x14ac:dyDescent="0.2">
      <c r="B979" s="30"/>
      <c r="C979" s="24"/>
      <c r="D979" s="24"/>
      <c r="E979" s="24"/>
      <c r="F979" s="24" t="str">
        <f t="array" ref="F979">IFERROR(INDEX(COA!$C$5:$C$59,MATCH(JURNAL!E979,COA!$B$5:$B$59,0)),"")</f>
        <v/>
      </c>
      <c r="G979" s="204"/>
      <c r="H979" s="204"/>
    </row>
    <row r="980" spans="2:8" ht="15.75" customHeight="1" x14ac:dyDescent="0.2">
      <c r="B980" s="30"/>
      <c r="C980" s="24"/>
      <c r="D980" s="24"/>
      <c r="E980" s="24"/>
      <c r="F980" s="24" t="str">
        <f t="array" ref="F980">IFERROR(INDEX(COA!$C$5:$C$59,MATCH(JURNAL!E980,COA!$B$5:$B$59,0)),"")</f>
        <v/>
      </c>
      <c r="G980" s="204"/>
      <c r="H980" s="204"/>
    </row>
    <row r="981" spans="2:8" ht="15.75" customHeight="1" x14ac:dyDescent="0.2">
      <c r="B981" s="30"/>
      <c r="C981" s="24"/>
      <c r="D981" s="24"/>
      <c r="E981" s="24"/>
      <c r="F981" s="24" t="str">
        <f t="array" ref="F981">IFERROR(INDEX(COA!$C$5:$C$59,MATCH(JURNAL!E981,COA!$B$5:$B$59,0)),"")</f>
        <v/>
      </c>
      <c r="G981" s="204"/>
      <c r="H981" s="204"/>
    </row>
    <row r="982" spans="2:8" ht="15.75" customHeight="1" x14ac:dyDescent="0.2">
      <c r="B982" s="30"/>
      <c r="C982" s="24"/>
      <c r="D982" s="24"/>
      <c r="E982" s="24"/>
      <c r="F982" s="24" t="str">
        <f t="array" ref="F982">IFERROR(INDEX(COA!$C$5:$C$59,MATCH(JURNAL!E982,COA!$B$5:$B$59,0)),"")</f>
        <v/>
      </c>
      <c r="G982" s="204"/>
      <c r="H982" s="204"/>
    </row>
    <row r="983" spans="2:8" ht="15.75" customHeight="1" x14ac:dyDescent="0.2">
      <c r="B983" s="30"/>
      <c r="C983" s="24"/>
      <c r="D983" s="24"/>
      <c r="E983" s="24"/>
      <c r="F983" s="24" t="str">
        <f t="array" ref="F983">IFERROR(INDEX(COA!$C$5:$C$59,MATCH(JURNAL!E983,COA!$B$5:$B$59,0)),"")</f>
        <v/>
      </c>
      <c r="G983" s="204"/>
      <c r="H983" s="204"/>
    </row>
    <row r="984" spans="2:8" ht="15.75" customHeight="1" x14ac:dyDescent="0.2">
      <c r="B984" s="30"/>
      <c r="C984" s="24"/>
      <c r="D984" s="24"/>
      <c r="E984" s="24"/>
      <c r="F984" s="24" t="str">
        <f t="array" ref="F984">IFERROR(INDEX(COA!$C$5:$C$59,MATCH(JURNAL!E984,COA!$B$5:$B$59,0)),"")</f>
        <v/>
      </c>
      <c r="G984" s="204"/>
      <c r="H984" s="204"/>
    </row>
    <row r="985" spans="2:8" ht="15.75" customHeight="1" x14ac:dyDescent="0.2">
      <c r="B985" s="30"/>
      <c r="C985" s="24"/>
      <c r="D985" s="24"/>
      <c r="E985" s="24"/>
      <c r="F985" s="24" t="str">
        <f t="array" ref="F985">IFERROR(INDEX(COA!$C$5:$C$59,MATCH(JURNAL!E985,COA!$B$5:$B$59,0)),"")</f>
        <v/>
      </c>
      <c r="G985" s="204"/>
      <c r="H985" s="204"/>
    </row>
    <row r="986" spans="2:8" ht="15.75" customHeight="1" x14ac:dyDescent="0.2">
      <c r="B986" s="30"/>
      <c r="C986" s="24"/>
      <c r="D986" s="24"/>
      <c r="E986" s="24"/>
      <c r="F986" s="24" t="str">
        <f t="array" ref="F986">IFERROR(INDEX(COA!$C$5:$C$59,MATCH(JURNAL!E986,COA!$B$5:$B$59,0)),"")</f>
        <v/>
      </c>
      <c r="G986" s="204"/>
      <c r="H986" s="204"/>
    </row>
    <row r="987" spans="2:8" ht="15.75" customHeight="1" x14ac:dyDescent="0.2">
      <c r="B987" s="30"/>
      <c r="C987" s="24"/>
      <c r="D987" s="24"/>
      <c r="E987" s="24"/>
      <c r="F987" s="24" t="str">
        <f t="array" ref="F987">IFERROR(INDEX(COA!$C$5:$C$59,MATCH(JURNAL!E987,COA!$B$5:$B$59,0)),"")</f>
        <v/>
      </c>
      <c r="G987" s="204"/>
      <c r="H987" s="204"/>
    </row>
    <row r="988" spans="2:8" ht="15.75" customHeight="1" x14ac:dyDescent="0.2">
      <c r="B988" s="30"/>
      <c r="C988" s="24"/>
      <c r="D988" s="24"/>
      <c r="E988" s="24"/>
      <c r="F988" s="24" t="str">
        <f t="array" ref="F988">IFERROR(INDEX(COA!$C$5:$C$59,MATCH(JURNAL!E988,COA!$B$5:$B$59,0)),"")</f>
        <v/>
      </c>
      <c r="G988" s="204"/>
      <c r="H988" s="204"/>
    </row>
    <row r="989" spans="2:8" ht="15.75" customHeight="1" x14ac:dyDescent="0.2">
      <c r="B989" s="30"/>
      <c r="C989" s="24"/>
      <c r="D989" s="24"/>
      <c r="E989" s="24"/>
      <c r="F989" s="24" t="str">
        <f t="array" ref="F989">IFERROR(INDEX(COA!$C$5:$C$59,MATCH(JURNAL!E989,COA!$B$5:$B$59,0)),"")</f>
        <v/>
      </c>
      <c r="G989" s="204"/>
      <c r="H989" s="204"/>
    </row>
    <row r="990" spans="2:8" ht="15.75" customHeight="1" x14ac:dyDescent="0.2">
      <c r="B990" s="30"/>
      <c r="C990" s="24"/>
      <c r="D990" s="24"/>
      <c r="E990" s="24"/>
      <c r="F990" s="24" t="str">
        <f t="array" ref="F990">IFERROR(INDEX(COA!$C$5:$C$59,MATCH(JURNAL!E990,COA!$B$5:$B$59,0)),"")</f>
        <v/>
      </c>
      <c r="G990" s="204"/>
      <c r="H990" s="204"/>
    </row>
    <row r="991" spans="2:8" ht="15.75" customHeight="1" x14ac:dyDescent="0.2">
      <c r="B991" s="30"/>
      <c r="C991" s="24"/>
      <c r="D991" s="24"/>
      <c r="E991" s="24"/>
      <c r="F991" s="24" t="str">
        <f t="array" ref="F991">IFERROR(INDEX(COA!$C$5:$C$59,MATCH(JURNAL!E991,COA!$B$5:$B$59,0)),"")</f>
        <v/>
      </c>
      <c r="G991" s="204"/>
      <c r="H991" s="204"/>
    </row>
    <row r="992" spans="2:8" ht="15.75" customHeight="1" x14ac:dyDescent="0.2">
      <c r="B992" s="30"/>
      <c r="C992" s="24"/>
      <c r="D992" s="24"/>
      <c r="E992" s="24"/>
      <c r="F992" s="24" t="str">
        <f t="array" ref="F992">IFERROR(INDEX(COA!$C$5:$C$59,MATCH(JURNAL!E992,COA!$B$5:$B$59,0)),"")</f>
        <v/>
      </c>
      <c r="G992" s="204"/>
      <c r="H992" s="204"/>
    </row>
    <row r="993" spans="2:8" ht="15.75" customHeight="1" x14ac:dyDescent="0.2">
      <c r="B993" s="30"/>
      <c r="C993" s="24"/>
      <c r="D993" s="24"/>
      <c r="E993" s="24"/>
      <c r="F993" s="24" t="str">
        <f t="array" ref="F993">IFERROR(INDEX(COA!$C$5:$C$59,MATCH(JURNAL!E993,COA!$B$5:$B$59,0)),"")</f>
        <v/>
      </c>
      <c r="G993" s="204"/>
      <c r="H993" s="204"/>
    </row>
    <row r="994" spans="2:8" ht="15.75" customHeight="1" x14ac:dyDescent="0.2">
      <c r="B994" s="30"/>
      <c r="C994" s="24"/>
      <c r="D994" s="24"/>
      <c r="E994" s="24"/>
      <c r="F994" s="24" t="str">
        <f t="array" ref="F994">IFERROR(INDEX(COA!$C$5:$C$59,MATCH(JURNAL!E994,COA!$B$5:$B$59,0)),"")</f>
        <v/>
      </c>
      <c r="G994" s="204"/>
      <c r="H994" s="204"/>
    </row>
    <row r="995" spans="2:8" ht="15.75" customHeight="1" x14ac:dyDescent="0.2">
      <c r="B995" s="30"/>
      <c r="C995" s="24"/>
      <c r="D995" s="24"/>
      <c r="E995" s="24"/>
      <c r="F995" s="24" t="str">
        <f t="array" ref="F995">IFERROR(INDEX(COA!$C$5:$C$59,MATCH(JURNAL!E995,COA!$B$5:$B$59,0)),"")</f>
        <v/>
      </c>
      <c r="G995" s="204"/>
      <c r="H995" s="204"/>
    </row>
    <row r="996" spans="2:8" ht="15.75" customHeight="1" x14ac:dyDescent="0.2">
      <c r="B996" s="30"/>
      <c r="C996" s="24"/>
      <c r="D996" s="24"/>
      <c r="E996" s="24"/>
      <c r="F996" s="24" t="str">
        <f t="array" ref="F996">IFERROR(INDEX(COA!$C$5:$C$59,MATCH(JURNAL!E996,COA!$B$5:$B$59,0)),"")</f>
        <v/>
      </c>
      <c r="G996" s="204"/>
      <c r="H996" s="204"/>
    </row>
    <row r="997" spans="2:8" ht="15.75" customHeight="1" x14ac:dyDescent="0.2">
      <c r="B997" s="30"/>
      <c r="C997" s="24"/>
      <c r="D997" s="24"/>
      <c r="E997" s="24"/>
      <c r="F997" s="24" t="str">
        <f t="array" ref="F997">IFERROR(INDEX(COA!$C$5:$C$59,MATCH(JURNAL!E997,COA!$B$5:$B$59,0)),"")</f>
        <v/>
      </c>
      <c r="G997" s="204"/>
      <c r="H997" s="204"/>
    </row>
    <row r="998" spans="2:8" ht="15.75" customHeight="1" x14ac:dyDescent="0.2">
      <c r="B998" s="30"/>
      <c r="C998" s="24"/>
      <c r="D998" s="24"/>
      <c r="E998" s="24"/>
      <c r="F998" s="24" t="str">
        <f t="array" ref="F998">IFERROR(INDEX(COA!$C$5:$C$59,MATCH(JURNAL!E998,COA!$B$5:$B$59,0)),"")</f>
        <v/>
      </c>
      <c r="G998" s="204"/>
      <c r="H998" s="204"/>
    </row>
    <row r="999" spans="2:8" ht="15.75" customHeight="1" x14ac:dyDescent="0.2">
      <c r="B999" s="30"/>
      <c r="C999" s="24"/>
      <c r="D999" s="24"/>
      <c r="E999" s="24"/>
      <c r="F999" s="24" t="str">
        <f t="array" ref="F999">IFERROR(INDEX(COA!$C$5:$C$59,MATCH(JURNAL!E999,COA!$B$5:$B$59,0)),"")</f>
        <v/>
      </c>
      <c r="G999" s="204"/>
      <c r="H999" s="204"/>
    </row>
    <row r="1000" spans="2:8" ht="15.75" customHeight="1" x14ac:dyDescent="0.2">
      <c r="B1000" s="30"/>
      <c r="C1000" s="24"/>
      <c r="D1000" s="24"/>
      <c r="E1000" s="24"/>
      <c r="F1000" s="24" t="str">
        <f t="array" ref="F1000">IFERROR(INDEX(COA!$C$5:$C$59,MATCH(JURNAL!E1000,COA!$B$5:$B$59,0)),"")</f>
        <v/>
      </c>
      <c r="G1000" s="204"/>
      <c r="H1000" s="204"/>
    </row>
    <row r="1001" spans="2:8" ht="15" customHeight="1" x14ac:dyDescent="0.2">
      <c r="B1001" s="30"/>
      <c r="C1001" s="24"/>
      <c r="D1001" s="24"/>
      <c r="E1001" s="24"/>
      <c r="F1001" s="24" t="str">
        <f t="array" ref="F1001">IFERROR(INDEX(COA!$C$5:$C$59,MATCH(JURNAL!E1001,COA!$B$5:$B$59,0)),"")</f>
        <v/>
      </c>
      <c r="G1001" s="204"/>
      <c r="H1001" s="204"/>
    </row>
    <row r="1002" spans="2:8" ht="15" customHeight="1" x14ac:dyDescent="0.2">
      <c r="B1002" s="30"/>
      <c r="C1002" s="24"/>
      <c r="D1002" s="24"/>
      <c r="E1002" s="24"/>
      <c r="F1002" s="24" t="str">
        <f t="array" ref="F1002">IFERROR(INDEX(COA!$C$5:$C$59,MATCH(JURNAL!E1002,COA!$B$5:$B$59,0)),"")</f>
        <v/>
      </c>
      <c r="G1002" s="204"/>
      <c r="H1002" s="204"/>
    </row>
    <row r="1003" spans="2:8" ht="15" customHeight="1" x14ac:dyDescent="0.2">
      <c r="B1003" s="30"/>
      <c r="C1003" s="24"/>
      <c r="D1003" s="24"/>
      <c r="E1003" s="24"/>
      <c r="F1003" s="24" t="str">
        <f t="array" ref="F1003">IFERROR(INDEX(COA!$C$5:$C$59,MATCH(JURNAL!E1003,COA!$B$5:$B$59,0)),"")</f>
        <v/>
      </c>
      <c r="G1003" s="204"/>
      <c r="H1003" s="204"/>
    </row>
    <row r="1004" spans="2:8" ht="15" customHeight="1" x14ac:dyDescent="0.2">
      <c r="B1004" s="30"/>
      <c r="C1004" s="24"/>
      <c r="D1004" s="24"/>
      <c r="E1004" s="24"/>
      <c r="F1004" s="24" t="str">
        <f t="array" ref="F1004">IFERROR(INDEX(COA!$C$5:$C$59,MATCH(JURNAL!E1004,COA!$B$5:$B$59,0)),"")</f>
        <v/>
      </c>
      <c r="G1004" s="204"/>
      <c r="H1004" s="204"/>
    </row>
    <row r="1005" spans="2:8" ht="15" customHeight="1" x14ac:dyDescent="0.2">
      <c r="B1005" s="30"/>
      <c r="C1005" s="24"/>
      <c r="D1005" s="24"/>
      <c r="E1005" s="24"/>
      <c r="F1005" s="24" t="str">
        <f t="array" ref="F1005">IFERROR(INDEX(COA!$C$5:$C$59,MATCH(JURNAL!E1005,COA!$B$5:$B$59,0)),"")</f>
        <v/>
      </c>
      <c r="G1005" s="204"/>
      <c r="H1005" s="204"/>
    </row>
    <row r="1006" spans="2:8" ht="15" customHeight="1" x14ac:dyDescent="0.2">
      <c r="B1006" s="30"/>
      <c r="C1006" s="24"/>
      <c r="D1006" s="24"/>
      <c r="E1006" s="24"/>
      <c r="F1006" s="24" t="str">
        <f t="array" ref="F1006">IFERROR(INDEX(COA!$C$5:$C$59,MATCH(JURNAL!E1006,COA!$B$5:$B$59,0)),"")</f>
        <v/>
      </c>
      <c r="G1006" s="204"/>
      <c r="H1006" s="204"/>
    </row>
    <row r="1007" spans="2:8" ht="15" customHeight="1" x14ac:dyDescent="0.2">
      <c r="B1007" s="30"/>
      <c r="C1007" s="24"/>
      <c r="D1007" s="24"/>
      <c r="E1007" s="24"/>
      <c r="F1007" s="24" t="str">
        <f t="array" ref="F1007">IFERROR(INDEX(COA!$C$5:$C$59,MATCH(JURNAL!E1007,COA!$B$5:$B$59,0)),"")</f>
        <v/>
      </c>
      <c r="G1007" s="204"/>
      <c r="H1007" s="204"/>
    </row>
    <row r="1008" spans="2:8" ht="15" customHeight="1" x14ac:dyDescent="0.2">
      <c r="B1008" s="30"/>
      <c r="C1008" s="24"/>
      <c r="D1008" s="24"/>
      <c r="E1008" s="24"/>
      <c r="F1008" s="24" t="str">
        <f t="array" ref="F1008">IFERROR(INDEX(COA!$C$5:$C$59,MATCH(JURNAL!E1008,COA!$B$5:$B$59,0)),"")</f>
        <v/>
      </c>
      <c r="G1008" s="204"/>
      <c r="H1008" s="204"/>
    </row>
    <row r="1009" spans="2:8" ht="15" customHeight="1" x14ac:dyDescent="0.2">
      <c r="B1009" s="30"/>
      <c r="C1009" s="24"/>
      <c r="D1009" s="24"/>
      <c r="E1009" s="24"/>
      <c r="F1009" s="24" t="str">
        <f t="array" ref="F1009">IFERROR(INDEX(COA!$C$5:$C$59,MATCH(JURNAL!E1009,COA!$B$5:$B$59,0)),"")</f>
        <v/>
      </c>
      <c r="G1009" s="204"/>
      <c r="H1009" s="204"/>
    </row>
    <row r="1010" spans="2:8" ht="15" customHeight="1" x14ac:dyDescent="0.2">
      <c r="B1010" s="30"/>
      <c r="C1010" s="24"/>
      <c r="D1010" s="24"/>
      <c r="E1010" s="24"/>
      <c r="F1010" s="24" t="str">
        <f t="array" ref="F1010">IFERROR(INDEX(COA!$C$5:$C$59,MATCH(JURNAL!E1010,COA!$B$5:$B$59,0)),"")</f>
        <v/>
      </c>
      <c r="G1010" s="204"/>
      <c r="H1010" s="204"/>
    </row>
    <row r="1011" spans="2:8" ht="15" customHeight="1" x14ac:dyDescent="0.2">
      <c r="B1011" s="30"/>
      <c r="C1011" s="24"/>
      <c r="D1011" s="24"/>
      <c r="E1011" s="24"/>
      <c r="F1011" s="24" t="str">
        <f t="array" ref="F1011">IFERROR(INDEX(COA!$C$5:$C$59,MATCH(JURNAL!E1011,COA!$B$5:$B$59,0)),"")</f>
        <v/>
      </c>
      <c r="G1011" s="204"/>
      <c r="H1011" s="204"/>
    </row>
    <row r="1012" spans="2:8" ht="15" customHeight="1" x14ac:dyDescent="0.2">
      <c r="B1012" s="30"/>
      <c r="C1012" s="24"/>
      <c r="D1012" s="24"/>
      <c r="E1012" s="24"/>
      <c r="F1012" s="24" t="str">
        <f t="array" ref="F1012">IFERROR(INDEX(COA!$C$5:$C$59,MATCH(JURNAL!E1012,COA!$B$5:$B$59,0)),"")</f>
        <v/>
      </c>
      <c r="G1012" s="204"/>
      <c r="H1012" s="204"/>
    </row>
    <row r="1013" spans="2:8" ht="15" customHeight="1" x14ac:dyDescent="0.2">
      <c r="B1013" s="30"/>
      <c r="C1013" s="24"/>
      <c r="D1013" s="24"/>
      <c r="E1013" s="24"/>
      <c r="F1013" s="24" t="str">
        <f t="array" ref="F1013">IFERROR(INDEX(COA!$C$5:$C$59,MATCH(JURNAL!E1013,COA!$B$5:$B$59,0)),"")</f>
        <v/>
      </c>
      <c r="G1013" s="204"/>
      <c r="H1013" s="204"/>
    </row>
    <row r="1014" spans="2:8" ht="15" customHeight="1" x14ac:dyDescent="0.2">
      <c r="B1014" s="30"/>
      <c r="C1014" s="24"/>
      <c r="D1014" s="24"/>
      <c r="E1014" s="24"/>
      <c r="F1014" s="24" t="str">
        <f t="array" ref="F1014">IFERROR(INDEX(COA!$C$5:$C$59,MATCH(JURNAL!E1014,COA!$B$5:$B$59,0)),"")</f>
        <v/>
      </c>
      <c r="G1014" s="204"/>
      <c r="H1014" s="204"/>
    </row>
    <row r="1015" spans="2:8" ht="15" customHeight="1" x14ac:dyDescent="0.2">
      <c r="B1015" s="30"/>
      <c r="C1015" s="24"/>
      <c r="D1015" s="24"/>
      <c r="E1015" s="24"/>
      <c r="F1015" s="24" t="str">
        <f t="array" ref="F1015">IFERROR(INDEX(COA!$C$5:$C$59,MATCH(JURNAL!E1015,COA!$B$5:$B$59,0)),"")</f>
        <v/>
      </c>
      <c r="G1015" s="204"/>
      <c r="H1015" s="204"/>
    </row>
    <row r="1016" spans="2:8" ht="15" customHeight="1" x14ac:dyDescent="0.2">
      <c r="B1016" s="30"/>
      <c r="C1016" s="24"/>
      <c r="D1016" s="24"/>
      <c r="E1016" s="24"/>
      <c r="F1016" s="24" t="str">
        <f t="array" ref="F1016">IFERROR(INDEX(COA!$C$5:$C$59,MATCH(JURNAL!E1016,COA!$B$5:$B$59,0)),"")</f>
        <v/>
      </c>
      <c r="G1016" s="204"/>
      <c r="H1016" s="204"/>
    </row>
    <row r="1017" spans="2:8" ht="15" customHeight="1" x14ac:dyDescent="0.2">
      <c r="B1017" s="30"/>
      <c r="C1017" s="24"/>
      <c r="D1017" s="24"/>
      <c r="E1017" s="24"/>
      <c r="F1017" s="24" t="str">
        <f t="array" ref="F1017">IFERROR(INDEX(COA!$C$5:$C$59,MATCH(JURNAL!E1017,COA!$B$5:$B$59,0)),"")</f>
        <v/>
      </c>
      <c r="G1017" s="204"/>
      <c r="H1017" s="204"/>
    </row>
    <row r="1018" spans="2:8" ht="15" customHeight="1" x14ac:dyDescent="0.2">
      <c r="B1018" s="30"/>
      <c r="C1018" s="24"/>
      <c r="D1018" s="24"/>
      <c r="E1018" s="24"/>
      <c r="F1018" s="24" t="str">
        <f t="array" ref="F1018">IFERROR(INDEX(COA!$C$5:$C$59,MATCH(JURNAL!E1018,COA!$B$5:$B$59,0)),"")</f>
        <v/>
      </c>
      <c r="G1018" s="204"/>
      <c r="H1018" s="204"/>
    </row>
    <row r="1019" spans="2:8" ht="15" customHeight="1" x14ac:dyDescent="0.2">
      <c r="B1019" s="30"/>
      <c r="C1019" s="24"/>
      <c r="D1019" s="24"/>
      <c r="E1019" s="24"/>
      <c r="F1019" s="24" t="str">
        <f t="array" ref="F1019">IFERROR(INDEX(COA!$C$5:$C$59,MATCH(JURNAL!E1019,COA!$B$5:$B$59,0)),"")</f>
        <v/>
      </c>
      <c r="G1019" s="204"/>
      <c r="H1019" s="204"/>
    </row>
    <row r="1020" spans="2:8" ht="15" customHeight="1" x14ac:dyDescent="0.2">
      <c r="B1020" s="30"/>
      <c r="C1020" s="24"/>
      <c r="D1020" s="24"/>
      <c r="E1020" s="24"/>
      <c r="F1020" s="24" t="str">
        <f t="array" ref="F1020">IFERROR(INDEX(COA!$C$5:$C$59,MATCH(JURNAL!E1020,COA!$B$5:$B$59,0)),"")</f>
        <v/>
      </c>
      <c r="G1020" s="204"/>
      <c r="H1020" s="204"/>
    </row>
    <row r="1021" spans="2:8" ht="15" customHeight="1" x14ac:dyDescent="0.2">
      <c r="B1021" s="30"/>
      <c r="C1021" s="24"/>
      <c r="D1021" s="24"/>
      <c r="E1021" s="24"/>
      <c r="F1021" s="24" t="str">
        <f t="array" ref="F1021">IFERROR(INDEX(COA!$C$5:$C$59,MATCH(JURNAL!E1021,COA!$B$5:$B$59,0)),"")</f>
        <v/>
      </c>
      <c r="G1021" s="204"/>
      <c r="H1021" s="204"/>
    </row>
    <row r="1022" spans="2:8" ht="15" customHeight="1" x14ac:dyDescent="0.2">
      <c r="B1022" s="30"/>
      <c r="C1022" s="24"/>
      <c r="D1022" s="24"/>
      <c r="E1022" s="24"/>
      <c r="F1022" s="24" t="str">
        <f t="array" ref="F1022">IFERROR(INDEX(COA!$C$5:$C$59,MATCH(JURNAL!E1022,COA!$B$5:$B$59,0)),"")</f>
        <v/>
      </c>
      <c r="G1022" s="204"/>
      <c r="H1022" s="204"/>
    </row>
    <row r="1023" spans="2:8" ht="15" customHeight="1" x14ac:dyDescent="0.2">
      <c r="B1023" s="30"/>
      <c r="C1023" s="24"/>
      <c r="D1023" s="24"/>
      <c r="E1023" s="24"/>
      <c r="F1023" s="24" t="str">
        <f t="array" ref="F1023">IFERROR(INDEX(COA!$C$5:$C$59,MATCH(JURNAL!E1023,COA!$B$5:$B$59,0)),"")</f>
        <v/>
      </c>
      <c r="G1023" s="204"/>
      <c r="H1023" s="204"/>
    </row>
    <row r="1024" spans="2:8" ht="15" customHeight="1" x14ac:dyDescent="0.2">
      <c r="B1024" s="30"/>
      <c r="C1024" s="24"/>
      <c r="D1024" s="24"/>
      <c r="E1024" s="24"/>
      <c r="F1024" s="24" t="str">
        <f t="array" ref="F1024">IFERROR(INDEX(COA!$C$5:$C$59,MATCH(JURNAL!E1024,COA!$B$5:$B$59,0)),"")</f>
        <v/>
      </c>
      <c r="G1024" s="204"/>
      <c r="H1024" s="204"/>
    </row>
    <row r="1025" spans="2:8" ht="15" customHeight="1" x14ac:dyDescent="0.2">
      <c r="B1025" s="30"/>
      <c r="C1025" s="24"/>
      <c r="D1025" s="24"/>
      <c r="E1025" s="24"/>
      <c r="F1025" s="24" t="str">
        <f t="array" ref="F1025">IFERROR(INDEX(COA!$C$5:$C$59,MATCH(JURNAL!E1025,COA!$B$5:$B$59,0)),"")</f>
        <v/>
      </c>
      <c r="G1025" s="204"/>
      <c r="H1025" s="204"/>
    </row>
    <row r="1026" spans="2:8" ht="15" customHeight="1" x14ac:dyDescent="0.2">
      <c r="B1026" s="30"/>
      <c r="C1026" s="24"/>
      <c r="D1026" s="24"/>
      <c r="E1026" s="24"/>
      <c r="F1026" s="24" t="str">
        <f t="array" ref="F1026">IFERROR(INDEX(COA!$C$5:$C$59,MATCH(JURNAL!E1026,COA!$B$5:$B$59,0)),"")</f>
        <v/>
      </c>
      <c r="G1026" s="204"/>
      <c r="H1026" s="204"/>
    </row>
    <row r="1027" spans="2:8" ht="15" customHeight="1" x14ac:dyDescent="0.2">
      <c r="B1027" s="30"/>
      <c r="C1027" s="24"/>
      <c r="D1027" s="24"/>
      <c r="E1027" s="24"/>
      <c r="F1027" s="24" t="str">
        <f t="array" ref="F1027">IFERROR(INDEX(COA!$C$5:$C$59,MATCH(JURNAL!E1027,COA!$B$5:$B$59,0)),"")</f>
        <v/>
      </c>
      <c r="G1027" s="204"/>
      <c r="H1027" s="204"/>
    </row>
    <row r="1028" spans="2:8" ht="15" customHeight="1" x14ac:dyDescent="0.2">
      <c r="B1028" s="30"/>
      <c r="C1028" s="24"/>
      <c r="D1028" s="24"/>
      <c r="E1028" s="24"/>
      <c r="F1028" s="24" t="str">
        <f t="array" ref="F1028">IFERROR(INDEX(COA!$C$5:$C$59,MATCH(JURNAL!E1028,COA!$B$5:$B$59,0)),"")</f>
        <v/>
      </c>
      <c r="G1028" s="204"/>
      <c r="H1028" s="204"/>
    </row>
    <row r="1029" spans="2:8" ht="15" customHeight="1" x14ac:dyDescent="0.2">
      <c r="B1029" s="30"/>
      <c r="C1029" s="24"/>
      <c r="D1029" s="24"/>
      <c r="E1029" s="24"/>
      <c r="F1029" s="24" t="str">
        <f t="array" ref="F1029">IFERROR(INDEX(COA!$C$5:$C$59,MATCH(JURNAL!E1029,COA!$B$5:$B$59,0)),"")</f>
        <v/>
      </c>
      <c r="G1029" s="204"/>
      <c r="H1029" s="204"/>
    </row>
    <row r="1030" spans="2:8" ht="15" customHeight="1" x14ac:dyDescent="0.2">
      <c r="B1030" s="30"/>
      <c r="C1030" s="24"/>
      <c r="D1030" s="24"/>
      <c r="E1030" s="24"/>
      <c r="F1030" s="24" t="str">
        <f t="array" ref="F1030">IFERROR(INDEX(COA!$C$5:$C$59,MATCH(JURNAL!E1030,COA!$B$5:$B$59,0)),"")</f>
        <v/>
      </c>
      <c r="G1030" s="204"/>
      <c r="H1030" s="204"/>
    </row>
    <row r="1031" spans="2:8" ht="15" customHeight="1" x14ac:dyDescent="0.2">
      <c r="B1031" s="30"/>
      <c r="C1031" s="24"/>
      <c r="D1031" s="24"/>
      <c r="E1031" s="24"/>
      <c r="F1031" s="24" t="str">
        <f t="array" ref="F1031">IFERROR(INDEX(COA!$C$5:$C$59,MATCH(JURNAL!E1031,COA!$B$5:$B$59,0)),"")</f>
        <v/>
      </c>
      <c r="G1031" s="204"/>
      <c r="H1031" s="204"/>
    </row>
    <row r="1032" spans="2:8" ht="15" customHeight="1" x14ac:dyDescent="0.2">
      <c r="B1032" s="30"/>
      <c r="C1032" s="24"/>
      <c r="D1032" s="24"/>
      <c r="E1032" s="24"/>
      <c r="F1032" s="24" t="str">
        <f t="array" ref="F1032">IFERROR(INDEX(COA!$C$5:$C$59,MATCH(JURNAL!E1032,COA!$B$5:$B$59,0)),"")</f>
        <v/>
      </c>
      <c r="G1032" s="204"/>
      <c r="H1032" s="204"/>
    </row>
    <row r="1033" spans="2:8" ht="15" customHeight="1" x14ac:dyDescent="0.2">
      <c r="B1033" s="30"/>
      <c r="C1033" s="24"/>
      <c r="D1033" s="24"/>
      <c r="E1033" s="24"/>
      <c r="F1033" s="24" t="str">
        <f t="array" ref="F1033">IFERROR(INDEX(COA!$C$5:$C$59,MATCH(JURNAL!E1033,COA!$B$5:$B$59,0)),"")</f>
        <v/>
      </c>
      <c r="G1033" s="204"/>
      <c r="H1033" s="204"/>
    </row>
    <row r="1034" spans="2:8" ht="15" customHeight="1" x14ac:dyDescent="0.2">
      <c r="B1034" s="30"/>
      <c r="C1034" s="24"/>
      <c r="D1034" s="24"/>
      <c r="E1034" s="24"/>
      <c r="F1034" s="24" t="str">
        <f t="array" ref="F1034">IFERROR(INDEX(COA!$C$5:$C$59,MATCH(JURNAL!E1034,COA!$B$5:$B$59,0)),"")</f>
        <v/>
      </c>
      <c r="G1034" s="204"/>
      <c r="H1034" s="204"/>
    </row>
    <row r="1035" spans="2:8" ht="15" customHeight="1" x14ac:dyDescent="0.2">
      <c r="B1035" s="30"/>
      <c r="C1035" s="24"/>
      <c r="D1035" s="24"/>
      <c r="E1035" s="24"/>
      <c r="F1035" s="24" t="str">
        <f t="array" ref="F1035">IFERROR(INDEX(COA!$C$5:$C$59,MATCH(JURNAL!E1035,COA!$B$5:$B$59,0)),"")</f>
        <v/>
      </c>
      <c r="G1035" s="204"/>
      <c r="H1035" s="204"/>
    </row>
    <row r="1036" spans="2:8" ht="15" customHeight="1" x14ac:dyDescent="0.2">
      <c r="B1036" s="30"/>
      <c r="C1036" s="24"/>
      <c r="D1036" s="24"/>
      <c r="E1036" s="24"/>
      <c r="F1036" s="24" t="str">
        <f t="array" ref="F1036">IFERROR(INDEX(COA!$C$5:$C$59,MATCH(JURNAL!E1036,COA!$B$5:$B$59,0)),"")</f>
        <v/>
      </c>
      <c r="G1036" s="204"/>
      <c r="H1036" s="204"/>
    </row>
    <row r="1037" spans="2:8" ht="15" customHeight="1" x14ac:dyDescent="0.2">
      <c r="B1037" s="30"/>
      <c r="C1037" s="24"/>
      <c r="D1037" s="24"/>
      <c r="E1037" s="24"/>
      <c r="F1037" s="24" t="str">
        <f t="array" ref="F1037">IFERROR(INDEX(COA!$C$5:$C$59,MATCH(JURNAL!E1037,COA!$B$5:$B$59,0)),"")</f>
        <v/>
      </c>
      <c r="G1037" s="204"/>
      <c r="H1037" s="204"/>
    </row>
    <row r="1038" spans="2:8" ht="15" customHeight="1" x14ac:dyDescent="0.2">
      <c r="B1038" s="30"/>
      <c r="C1038" s="24"/>
      <c r="D1038" s="24"/>
      <c r="E1038" s="24"/>
      <c r="F1038" s="24" t="str">
        <f t="array" ref="F1038">IFERROR(INDEX(COA!$C$5:$C$59,MATCH(JURNAL!E1038,COA!$B$5:$B$59,0)),"")</f>
        <v/>
      </c>
      <c r="G1038" s="204"/>
      <c r="H1038" s="204"/>
    </row>
    <row r="1039" spans="2:8" ht="15" customHeight="1" x14ac:dyDescent="0.2">
      <c r="B1039" s="30"/>
      <c r="C1039" s="24"/>
      <c r="D1039" s="24"/>
      <c r="E1039" s="24"/>
      <c r="F1039" s="24" t="str">
        <f t="array" ref="F1039">IFERROR(INDEX(COA!$C$5:$C$59,MATCH(JURNAL!E1039,COA!$B$5:$B$59,0)),"")</f>
        <v/>
      </c>
      <c r="G1039" s="204"/>
      <c r="H1039" s="204"/>
    </row>
    <row r="1040" spans="2:8" ht="15" customHeight="1" x14ac:dyDescent="0.2">
      <c r="B1040" s="30"/>
      <c r="C1040" s="24"/>
      <c r="D1040" s="24"/>
      <c r="E1040" s="24"/>
      <c r="F1040" s="24" t="str">
        <f t="array" ref="F1040">IFERROR(INDEX(COA!$C$5:$C$59,MATCH(JURNAL!E1040,COA!$B$5:$B$59,0)),"")</f>
        <v/>
      </c>
      <c r="G1040" s="204"/>
      <c r="H1040" s="204"/>
    </row>
    <row r="1041" spans="2:8" ht="15" customHeight="1" x14ac:dyDescent="0.2">
      <c r="B1041" s="30"/>
      <c r="C1041" s="24"/>
      <c r="D1041" s="24"/>
      <c r="E1041" s="24"/>
      <c r="F1041" s="24" t="str">
        <f t="array" ref="F1041">IFERROR(INDEX(COA!$C$5:$C$59,MATCH(JURNAL!E1041,COA!$B$5:$B$59,0)),"")</f>
        <v/>
      </c>
      <c r="G1041" s="204"/>
      <c r="H1041" s="204"/>
    </row>
    <row r="1042" spans="2:8" ht="15" customHeight="1" x14ac:dyDescent="0.2">
      <c r="B1042" s="30"/>
      <c r="C1042" s="24"/>
      <c r="D1042" s="24"/>
      <c r="E1042" s="24"/>
      <c r="F1042" s="24" t="str">
        <f t="array" ref="F1042">IFERROR(INDEX(COA!$C$5:$C$59,MATCH(JURNAL!E1042,COA!$B$5:$B$59,0)),"")</f>
        <v/>
      </c>
      <c r="G1042" s="204"/>
      <c r="H1042" s="204"/>
    </row>
    <row r="1043" spans="2:8" ht="15" customHeight="1" x14ac:dyDescent="0.2">
      <c r="B1043" s="30"/>
      <c r="C1043" s="24"/>
      <c r="D1043" s="24"/>
      <c r="E1043" s="24"/>
      <c r="F1043" s="24" t="str">
        <f t="array" ref="F1043">IFERROR(INDEX(COA!$C$5:$C$59,MATCH(JURNAL!E1043,COA!$B$5:$B$59,0)),"")</f>
        <v/>
      </c>
      <c r="G1043" s="204"/>
      <c r="H1043" s="204"/>
    </row>
    <row r="1044" spans="2:8" ht="15" customHeight="1" x14ac:dyDescent="0.2">
      <c r="B1044" s="30"/>
      <c r="C1044" s="24"/>
      <c r="D1044" s="24"/>
      <c r="E1044" s="24"/>
      <c r="F1044" s="24" t="str">
        <f t="array" ref="F1044">IFERROR(INDEX(COA!$C$5:$C$59,MATCH(JURNAL!E1044,COA!$B$5:$B$59,0)),"")</f>
        <v/>
      </c>
      <c r="G1044" s="204"/>
      <c r="H1044" s="204"/>
    </row>
    <row r="1045" spans="2:8" ht="15" customHeight="1" x14ac:dyDescent="0.2">
      <c r="B1045" s="30"/>
      <c r="C1045" s="24"/>
      <c r="D1045" s="24"/>
      <c r="E1045" s="24"/>
      <c r="F1045" s="24" t="str">
        <f t="array" ref="F1045">IFERROR(INDEX(COA!$C$5:$C$59,MATCH(JURNAL!E1045,COA!$B$5:$B$59,0)),"")</f>
        <v/>
      </c>
      <c r="G1045" s="204"/>
      <c r="H1045" s="204"/>
    </row>
    <row r="1046" spans="2:8" ht="15" customHeight="1" x14ac:dyDescent="0.2">
      <c r="B1046" s="30"/>
      <c r="C1046" s="24"/>
      <c r="D1046" s="24"/>
      <c r="E1046" s="24"/>
      <c r="F1046" s="24" t="str">
        <f t="array" ref="F1046">IFERROR(INDEX(COA!$C$5:$C$59,MATCH(JURNAL!E1046,COA!$B$5:$B$59,0)),"")</f>
        <v/>
      </c>
      <c r="G1046" s="204"/>
      <c r="H1046" s="204"/>
    </row>
    <row r="1047" spans="2:8" ht="15" customHeight="1" x14ac:dyDescent="0.2">
      <c r="B1047" s="30"/>
      <c r="C1047" s="24"/>
      <c r="D1047" s="24"/>
      <c r="E1047" s="24"/>
      <c r="F1047" s="24" t="str">
        <f t="array" ref="F1047">IFERROR(INDEX(COA!$C$5:$C$59,MATCH(JURNAL!E1047,COA!$B$5:$B$59,0)),"")</f>
        <v/>
      </c>
      <c r="G1047" s="204"/>
      <c r="H1047" s="204"/>
    </row>
    <row r="1048" spans="2:8" ht="15" customHeight="1" x14ac:dyDescent="0.2">
      <c r="B1048" s="30"/>
      <c r="C1048" s="24"/>
      <c r="D1048" s="24"/>
      <c r="E1048" s="24"/>
      <c r="F1048" s="24" t="str">
        <f t="array" ref="F1048">IFERROR(INDEX(COA!$C$5:$C$59,MATCH(JURNAL!E1048,COA!$B$5:$B$59,0)),"")</f>
        <v/>
      </c>
      <c r="G1048" s="204"/>
      <c r="H1048" s="204"/>
    </row>
    <row r="1049" spans="2:8" ht="15" customHeight="1" x14ac:dyDescent="0.2">
      <c r="B1049" s="30"/>
      <c r="C1049" s="24"/>
      <c r="D1049" s="24"/>
      <c r="E1049" s="24"/>
      <c r="F1049" s="24" t="str">
        <f t="array" ref="F1049">IFERROR(INDEX(COA!$C$5:$C$59,MATCH(JURNAL!E1049,COA!$B$5:$B$59,0)),"")</f>
        <v/>
      </c>
      <c r="G1049" s="204"/>
      <c r="H1049" s="204"/>
    </row>
    <row r="1050" spans="2:8" ht="15" customHeight="1" x14ac:dyDescent="0.2">
      <c r="B1050" s="30"/>
      <c r="C1050" s="24"/>
      <c r="D1050" s="24"/>
      <c r="E1050" s="24"/>
      <c r="F1050" s="24" t="str">
        <f t="array" ref="F1050">IFERROR(INDEX(COA!$C$5:$C$59,MATCH(JURNAL!E1050,COA!$B$5:$B$59,0)),"")</f>
        <v/>
      </c>
      <c r="G1050" s="204"/>
      <c r="H1050" s="204"/>
    </row>
    <row r="1051" spans="2:8" ht="15" customHeight="1" x14ac:dyDescent="0.2">
      <c r="B1051" s="30"/>
      <c r="C1051" s="24"/>
      <c r="D1051" s="24"/>
      <c r="E1051" s="24"/>
      <c r="F1051" s="24" t="str">
        <f t="array" ref="F1051">IFERROR(INDEX(COA!$C$5:$C$59,MATCH(JURNAL!E1051,COA!$B$5:$B$59,0)),"")</f>
        <v/>
      </c>
      <c r="G1051" s="204"/>
      <c r="H1051" s="204"/>
    </row>
    <row r="1052" spans="2:8" ht="15" customHeight="1" x14ac:dyDescent="0.2">
      <c r="B1052" s="30"/>
      <c r="C1052" s="24"/>
      <c r="D1052" s="24"/>
      <c r="E1052" s="24"/>
      <c r="F1052" s="24" t="str">
        <f t="array" ref="F1052">IFERROR(INDEX(COA!$C$5:$C$59,MATCH(JURNAL!E1052,COA!$B$5:$B$59,0)),"")</f>
        <v/>
      </c>
      <c r="G1052" s="204"/>
      <c r="H1052" s="204"/>
    </row>
    <row r="1053" spans="2:8" ht="15" customHeight="1" x14ac:dyDescent="0.2">
      <c r="B1053" s="30"/>
      <c r="C1053" s="24"/>
      <c r="D1053" s="24"/>
      <c r="E1053" s="24"/>
      <c r="F1053" s="24" t="str">
        <f t="array" ref="F1053">IFERROR(INDEX(COA!$C$5:$C$59,MATCH(JURNAL!E1053,COA!$B$5:$B$59,0)),"")</f>
        <v/>
      </c>
      <c r="G1053" s="204"/>
      <c r="H1053" s="204"/>
    </row>
    <row r="1054" spans="2:8" ht="15" customHeight="1" x14ac:dyDescent="0.2">
      <c r="B1054" s="30"/>
      <c r="C1054" s="24"/>
      <c r="D1054" s="24"/>
      <c r="E1054" s="24"/>
      <c r="F1054" s="24" t="str">
        <f t="array" ref="F1054">IFERROR(INDEX(COA!$C$5:$C$59,MATCH(JURNAL!E1054,COA!$B$5:$B$59,0)),"")</f>
        <v/>
      </c>
      <c r="G1054" s="204"/>
      <c r="H1054" s="204"/>
    </row>
    <row r="1055" spans="2:8" ht="15" customHeight="1" x14ac:dyDescent="0.2">
      <c r="B1055" s="30"/>
      <c r="C1055" s="24"/>
      <c r="D1055" s="24"/>
      <c r="E1055" s="24"/>
      <c r="F1055" s="24" t="str">
        <f t="array" ref="F1055">IFERROR(INDEX(COA!$C$5:$C$59,MATCH(JURNAL!E1055,COA!$B$5:$B$59,0)),"")</f>
        <v/>
      </c>
      <c r="G1055" s="204"/>
      <c r="H1055" s="204"/>
    </row>
    <row r="1056" spans="2:8" ht="15" customHeight="1" x14ac:dyDescent="0.2">
      <c r="B1056" s="30"/>
      <c r="C1056" s="24"/>
      <c r="D1056" s="24"/>
      <c r="E1056" s="24"/>
      <c r="F1056" s="24" t="str">
        <f t="array" ref="F1056">IFERROR(INDEX(COA!$C$5:$C$59,MATCH(JURNAL!E1056,COA!$B$5:$B$59,0)),"")</f>
        <v/>
      </c>
      <c r="G1056" s="204"/>
      <c r="H1056" s="204"/>
    </row>
    <row r="1057" spans="2:8" ht="15" customHeight="1" x14ac:dyDescent="0.2">
      <c r="B1057" s="30"/>
      <c r="C1057" s="24"/>
      <c r="D1057" s="24"/>
      <c r="E1057" s="24"/>
      <c r="F1057" s="24" t="str">
        <f t="array" ref="F1057">IFERROR(INDEX(COA!$C$5:$C$59,MATCH(JURNAL!E1057,COA!$B$5:$B$59,0)),"")</f>
        <v/>
      </c>
      <c r="G1057" s="204"/>
      <c r="H1057" s="204"/>
    </row>
    <row r="1058" spans="2:8" ht="15" customHeight="1" x14ac:dyDescent="0.2">
      <c r="B1058" s="30"/>
      <c r="C1058" s="24"/>
      <c r="D1058" s="24"/>
      <c r="E1058" s="24"/>
      <c r="F1058" s="24" t="str">
        <f t="array" ref="F1058">IFERROR(INDEX(COA!$C$5:$C$59,MATCH(JURNAL!E1058,COA!$B$5:$B$59,0)),"")</f>
        <v/>
      </c>
      <c r="G1058" s="204"/>
      <c r="H1058" s="204"/>
    </row>
    <row r="1059" spans="2:8" ht="15" customHeight="1" x14ac:dyDescent="0.2">
      <c r="B1059" s="30"/>
      <c r="C1059" s="24"/>
      <c r="D1059" s="24"/>
      <c r="E1059" s="24"/>
      <c r="F1059" s="24" t="str">
        <f t="array" ref="F1059">IFERROR(INDEX(COA!$C$5:$C$59,MATCH(JURNAL!E1059,COA!$B$5:$B$59,0)),"")</f>
        <v/>
      </c>
      <c r="G1059" s="204"/>
      <c r="H1059" s="204"/>
    </row>
    <row r="1060" spans="2:8" ht="15" customHeight="1" x14ac:dyDescent="0.2">
      <c r="B1060" s="30"/>
      <c r="C1060" s="24"/>
      <c r="D1060" s="24"/>
      <c r="E1060" s="24"/>
      <c r="F1060" s="24" t="str">
        <f t="array" ref="F1060">IFERROR(INDEX(COA!$C$5:$C$59,MATCH(JURNAL!E1060,COA!$B$5:$B$59,0)),"")</f>
        <v/>
      </c>
      <c r="G1060" s="204"/>
      <c r="H1060" s="204"/>
    </row>
    <row r="1061" spans="2:8" ht="15" customHeight="1" x14ac:dyDescent="0.2">
      <c r="B1061" s="30"/>
      <c r="C1061" s="24"/>
      <c r="D1061" s="24"/>
      <c r="E1061" s="24"/>
      <c r="F1061" s="24" t="str">
        <f t="array" ref="F1061">IFERROR(INDEX(COA!$C$5:$C$59,MATCH(JURNAL!E1061,COA!$B$5:$B$59,0)),"")</f>
        <v/>
      </c>
      <c r="G1061" s="204"/>
      <c r="H1061" s="204"/>
    </row>
    <row r="1062" spans="2:8" ht="15" customHeight="1" x14ac:dyDescent="0.2">
      <c r="B1062" s="30"/>
      <c r="C1062" s="24"/>
      <c r="D1062" s="24"/>
      <c r="E1062" s="24"/>
      <c r="F1062" s="24" t="str">
        <f t="array" ref="F1062">IFERROR(INDEX(COA!$C$5:$C$59,MATCH(JURNAL!E1062,COA!$B$5:$B$59,0)),"")</f>
        <v/>
      </c>
      <c r="G1062" s="204"/>
      <c r="H1062" s="204"/>
    </row>
    <row r="1063" spans="2:8" ht="15" customHeight="1" x14ac:dyDescent="0.2">
      <c r="B1063" s="30"/>
      <c r="C1063" s="24"/>
      <c r="D1063" s="24"/>
      <c r="E1063" s="24"/>
      <c r="F1063" s="24" t="str">
        <f t="array" ref="F1063">IFERROR(INDEX(COA!$C$5:$C$59,MATCH(JURNAL!E1063,COA!$B$5:$B$59,0)),"")</f>
        <v/>
      </c>
      <c r="G1063" s="204"/>
      <c r="H1063" s="204"/>
    </row>
    <row r="1064" spans="2:8" ht="15" customHeight="1" x14ac:dyDescent="0.2">
      <c r="B1064" s="30"/>
      <c r="C1064" s="24"/>
      <c r="D1064" s="24"/>
      <c r="E1064" s="24"/>
      <c r="F1064" s="24" t="str">
        <f t="array" ref="F1064">IFERROR(INDEX(COA!$C$5:$C$59,MATCH(JURNAL!E1064,COA!$B$5:$B$59,0)),"")</f>
        <v/>
      </c>
      <c r="G1064" s="204"/>
      <c r="H1064" s="204"/>
    </row>
    <row r="1065" spans="2:8" ht="15" customHeight="1" x14ac:dyDescent="0.2">
      <c r="B1065" s="30"/>
      <c r="C1065" s="24"/>
      <c r="D1065" s="24"/>
      <c r="E1065" s="24"/>
      <c r="F1065" s="24" t="str">
        <f t="array" ref="F1065">IFERROR(INDEX(COA!$C$5:$C$59,MATCH(JURNAL!E1065,COA!$B$5:$B$59,0)),"")</f>
        <v/>
      </c>
      <c r="G1065" s="204"/>
      <c r="H1065" s="204"/>
    </row>
    <row r="1066" spans="2:8" ht="15" customHeight="1" x14ac:dyDescent="0.2">
      <c r="B1066" s="30"/>
      <c r="C1066" s="24"/>
      <c r="D1066" s="24"/>
      <c r="E1066" s="24"/>
      <c r="F1066" s="24" t="str">
        <f t="array" ref="F1066">IFERROR(INDEX(COA!$C$5:$C$59,MATCH(JURNAL!E1066,COA!$B$5:$B$59,0)),"")</f>
        <v/>
      </c>
      <c r="G1066" s="204"/>
      <c r="H1066" s="204"/>
    </row>
    <row r="1067" spans="2:8" ht="15" customHeight="1" x14ac:dyDescent="0.2">
      <c r="B1067" s="30"/>
      <c r="C1067" s="24"/>
      <c r="D1067" s="24"/>
      <c r="E1067" s="24"/>
      <c r="F1067" s="24" t="str">
        <f t="array" ref="F1067">IFERROR(INDEX(COA!$C$5:$C$59,MATCH(JURNAL!E1067,COA!$B$5:$B$59,0)),"")</f>
        <v/>
      </c>
      <c r="G1067" s="204"/>
      <c r="H1067" s="204"/>
    </row>
    <row r="1068" spans="2:8" ht="15" customHeight="1" x14ac:dyDescent="0.2">
      <c r="B1068" s="30"/>
      <c r="C1068" s="24"/>
      <c r="D1068" s="24"/>
      <c r="E1068" s="24"/>
      <c r="F1068" s="24" t="str">
        <f t="array" ref="F1068">IFERROR(INDEX(COA!$C$5:$C$59,MATCH(JURNAL!E1068,COA!$B$5:$B$59,0)),"")</f>
        <v/>
      </c>
      <c r="G1068" s="204"/>
      <c r="H1068" s="204"/>
    </row>
    <row r="1069" spans="2:8" ht="15" customHeight="1" x14ac:dyDescent="0.2">
      <c r="B1069" s="30"/>
      <c r="C1069" s="24"/>
      <c r="D1069" s="24"/>
      <c r="E1069" s="24"/>
      <c r="F1069" s="24" t="str">
        <f t="array" ref="F1069">IFERROR(INDEX(COA!$C$5:$C$59,MATCH(JURNAL!E1069,COA!$B$5:$B$59,0)),"")</f>
        <v/>
      </c>
      <c r="G1069" s="204"/>
      <c r="H1069" s="204"/>
    </row>
    <row r="1070" spans="2:8" ht="15" customHeight="1" x14ac:dyDescent="0.2">
      <c r="B1070" s="30"/>
      <c r="C1070" s="24"/>
      <c r="D1070" s="24"/>
      <c r="E1070" s="24"/>
      <c r="F1070" s="24" t="str">
        <f t="array" ref="F1070">IFERROR(INDEX(COA!$C$5:$C$59,MATCH(JURNAL!E1070,COA!$B$5:$B$59,0)),"")</f>
        <v/>
      </c>
      <c r="G1070" s="204"/>
      <c r="H1070" s="204"/>
    </row>
    <row r="1071" spans="2:8" ht="15" customHeight="1" x14ac:dyDescent="0.2">
      <c r="B1071" s="30"/>
      <c r="C1071" s="24"/>
      <c r="D1071" s="24"/>
      <c r="E1071" s="24"/>
      <c r="F1071" s="24" t="str">
        <f t="array" ref="F1071">IFERROR(INDEX(COA!$C$5:$C$59,MATCH(JURNAL!E1071,COA!$B$5:$B$59,0)),"")</f>
        <v/>
      </c>
      <c r="G1071" s="204"/>
      <c r="H1071" s="204"/>
    </row>
    <row r="1072" spans="2:8" ht="15" customHeight="1" x14ac:dyDescent="0.2">
      <c r="B1072" s="30"/>
      <c r="C1072" s="24"/>
      <c r="D1072" s="24"/>
      <c r="E1072" s="24"/>
      <c r="F1072" s="24" t="str">
        <f t="array" ref="F1072">IFERROR(INDEX(COA!$C$5:$C$59,MATCH(JURNAL!E1072,COA!$B$5:$B$59,0)),"")</f>
        <v/>
      </c>
      <c r="G1072" s="204"/>
      <c r="H1072" s="204"/>
    </row>
    <row r="1073" spans="2:8" ht="15" customHeight="1" x14ac:dyDescent="0.2">
      <c r="B1073" s="30"/>
      <c r="C1073" s="24"/>
      <c r="D1073" s="24"/>
      <c r="E1073" s="24"/>
      <c r="F1073" s="24" t="str">
        <f t="array" ref="F1073">IFERROR(INDEX(COA!$C$5:$C$59,MATCH(JURNAL!E1073,COA!$B$5:$B$59,0)),"")</f>
        <v/>
      </c>
      <c r="G1073" s="204"/>
      <c r="H1073" s="204"/>
    </row>
    <row r="1074" spans="2:8" ht="15" customHeight="1" x14ac:dyDescent="0.2">
      <c r="B1074" s="30"/>
      <c r="C1074" s="24"/>
      <c r="D1074" s="24"/>
      <c r="E1074" s="24"/>
      <c r="F1074" s="24" t="str">
        <f t="array" ref="F1074">IFERROR(INDEX(COA!$C$5:$C$59,MATCH(JURNAL!E1074,COA!$B$5:$B$59,0)),"")</f>
        <v/>
      </c>
      <c r="G1074" s="204"/>
      <c r="H1074" s="204"/>
    </row>
    <row r="1075" spans="2:8" ht="15" customHeight="1" x14ac:dyDescent="0.2">
      <c r="B1075" s="30"/>
      <c r="C1075" s="24"/>
      <c r="D1075" s="24"/>
      <c r="E1075" s="24"/>
      <c r="F1075" s="24" t="str">
        <f t="array" ref="F1075">IFERROR(INDEX(COA!$C$5:$C$59,MATCH(JURNAL!E1075,COA!$B$5:$B$59,0)),"")</f>
        <v/>
      </c>
      <c r="G1075" s="204"/>
      <c r="H1075" s="204"/>
    </row>
    <row r="1076" spans="2:8" ht="15" customHeight="1" x14ac:dyDescent="0.2">
      <c r="B1076" s="30"/>
      <c r="C1076" s="24"/>
      <c r="D1076" s="24"/>
      <c r="E1076" s="24"/>
      <c r="F1076" s="24" t="str">
        <f t="array" ref="F1076">IFERROR(INDEX(COA!$C$5:$C$59,MATCH(JURNAL!E1076,COA!$B$5:$B$59,0)),"")</f>
        <v/>
      </c>
      <c r="G1076" s="204"/>
      <c r="H1076" s="204"/>
    </row>
    <row r="1077" spans="2:8" ht="15" customHeight="1" x14ac:dyDescent="0.2">
      <c r="B1077" s="30"/>
      <c r="C1077" s="24"/>
      <c r="D1077" s="24"/>
      <c r="E1077" s="24"/>
      <c r="F1077" s="24" t="str">
        <f t="array" ref="F1077">IFERROR(INDEX(COA!$C$5:$C$59,MATCH(JURNAL!E1077,COA!$B$5:$B$59,0)),"")</f>
        <v/>
      </c>
      <c r="G1077" s="204"/>
      <c r="H1077" s="204"/>
    </row>
    <row r="1078" spans="2:8" ht="15" customHeight="1" x14ac:dyDescent="0.2">
      <c r="B1078" s="30"/>
      <c r="C1078" s="24"/>
      <c r="D1078" s="24"/>
      <c r="E1078" s="24"/>
      <c r="F1078" s="24" t="str">
        <f t="array" ref="F1078">IFERROR(INDEX(COA!$C$5:$C$59,MATCH(JURNAL!E1078,COA!$B$5:$B$59,0)),"")</f>
        <v/>
      </c>
      <c r="G1078" s="204"/>
      <c r="H1078" s="204"/>
    </row>
    <row r="1079" spans="2:8" ht="15" customHeight="1" x14ac:dyDescent="0.2">
      <c r="B1079" s="30"/>
      <c r="C1079" s="24"/>
      <c r="D1079" s="24"/>
      <c r="E1079" s="24"/>
      <c r="F1079" s="24" t="str">
        <f t="array" ref="F1079">IFERROR(INDEX(COA!$C$5:$C$59,MATCH(JURNAL!E1079,COA!$B$5:$B$59,0)),"")</f>
        <v/>
      </c>
      <c r="G1079" s="204"/>
      <c r="H1079" s="204"/>
    </row>
    <row r="1080" spans="2:8" ht="15" customHeight="1" x14ac:dyDescent="0.2">
      <c r="B1080" s="30"/>
      <c r="C1080" s="24"/>
      <c r="D1080" s="24"/>
      <c r="E1080" s="24"/>
      <c r="F1080" s="24" t="str">
        <f t="array" ref="F1080">IFERROR(INDEX(COA!$C$5:$C$59,MATCH(JURNAL!E1080,COA!$B$5:$B$59,0)),"")</f>
        <v/>
      </c>
      <c r="G1080" s="204"/>
      <c r="H1080" s="204"/>
    </row>
    <row r="1081" spans="2:8" ht="15" customHeight="1" x14ac:dyDescent="0.2">
      <c r="B1081" s="30"/>
      <c r="C1081" s="24"/>
      <c r="D1081" s="24"/>
      <c r="E1081" s="24"/>
      <c r="F1081" s="24" t="str">
        <f t="array" ref="F1081">IFERROR(INDEX(COA!$C$5:$C$59,MATCH(JURNAL!E1081,COA!$B$5:$B$59,0)),"")</f>
        <v/>
      </c>
      <c r="G1081" s="204"/>
      <c r="H1081" s="204"/>
    </row>
    <row r="1082" spans="2:8" ht="15" customHeight="1" x14ac:dyDescent="0.2">
      <c r="B1082" s="30"/>
      <c r="C1082" s="24"/>
      <c r="D1082" s="24"/>
      <c r="E1082" s="24"/>
      <c r="F1082" s="24" t="str">
        <f t="array" ref="F1082">IFERROR(INDEX(COA!$C$5:$C$59,MATCH(JURNAL!E1082,COA!$B$5:$B$59,0)),"")</f>
        <v/>
      </c>
      <c r="G1082" s="204"/>
      <c r="H1082" s="204"/>
    </row>
    <row r="1083" spans="2:8" ht="15" customHeight="1" x14ac:dyDescent="0.2">
      <c r="B1083" s="30"/>
      <c r="C1083" s="24"/>
      <c r="D1083" s="24"/>
      <c r="E1083" s="24"/>
      <c r="F1083" s="24" t="str">
        <f t="array" ref="F1083">IFERROR(INDEX(COA!$C$5:$C$59,MATCH(JURNAL!E1083,COA!$B$5:$B$59,0)),"")</f>
        <v/>
      </c>
      <c r="G1083" s="204"/>
      <c r="H1083" s="204"/>
    </row>
    <row r="1084" spans="2:8" ht="15" customHeight="1" x14ac:dyDescent="0.2">
      <c r="B1084" s="30"/>
      <c r="C1084" s="24"/>
      <c r="D1084" s="24"/>
      <c r="E1084" s="24"/>
      <c r="F1084" s="24" t="str">
        <f t="array" ref="F1084">IFERROR(INDEX(COA!$C$5:$C$59,MATCH(JURNAL!E1084,COA!$B$5:$B$59,0)),"")</f>
        <v/>
      </c>
      <c r="G1084" s="204"/>
      <c r="H1084" s="204"/>
    </row>
    <row r="1085" spans="2:8" ht="15" customHeight="1" x14ac:dyDescent="0.2">
      <c r="B1085" s="30"/>
      <c r="C1085" s="24"/>
      <c r="D1085" s="24"/>
      <c r="E1085" s="24"/>
      <c r="F1085" s="24" t="str">
        <f t="array" ref="F1085">IFERROR(INDEX(COA!$C$5:$C$59,MATCH(JURNAL!E1085,COA!$B$5:$B$59,0)),"")</f>
        <v/>
      </c>
      <c r="G1085" s="204"/>
      <c r="H1085" s="204"/>
    </row>
    <row r="1086" spans="2:8" ht="15" customHeight="1" x14ac:dyDescent="0.2">
      <c r="B1086" s="30"/>
      <c r="C1086" s="24"/>
      <c r="D1086" s="24"/>
      <c r="E1086" s="24"/>
      <c r="F1086" s="24" t="str">
        <f t="array" ref="F1086">IFERROR(INDEX(COA!$C$5:$C$59,MATCH(JURNAL!E1086,COA!$B$5:$B$59,0)),"")</f>
        <v/>
      </c>
      <c r="G1086" s="204"/>
      <c r="H1086" s="204"/>
    </row>
    <row r="1087" spans="2:8" ht="15" customHeight="1" x14ac:dyDescent="0.2">
      <c r="B1087" s="30"/>
      <c r="C1087" s="24"/>
      <c r="D1087" s="24"/>
      <c r="E1087" s="24"/>
      <c r="F1087" s="24" t="str">
        <f t="array" ref="F1087">IFERROR(INDEX(COA!$C$5:$C$59,MATCH(JURNAL!E1087,COA!$B$5:$B$59,0)),"")</f>
        <v/>
      </c>
      <c r="G1087" s="204"/>
      <c r="H1087" s="204"/>
    </row>
    <row r="1088" spans="2:8" ht="15" customHeight="1" x14ac:dyDescent="0.2">
      <c r="B1088" s="30"/>
      <c r="C1088" s="24"/>
      <c r="D1088" s="24"/>
      <c r="E1088" s="24"/>
      <c r="F1088" s="24" t="str">
        <f t="array" ref="F1088">IFERROR(INDEX(COA!$C$5:$C$59,MATCH(JURNAL!E1088,COA!$B$5:$B$59,0)),"")</f>
        <v/>
      </c>
      <c r="G1088" s="204"/>
      <c r="H1088" s="204"/>
    </row>
    <row r="1089" spans="2:8" ht="15" customHeight="1" x14ac:dyDescent="0.2">
      <c r="B1089" s="30"/>
      <c r="C1089" s="24"/>
      <c r="D1089" s="24"/>
      <c r="E1089" s="24"/>
      <c r="F1089" s="24" t="str">
        <f t="array" ref="F1089">IFERROR(INDEX(COA!$C$5:$C$59,MATCH(JURNAL!E1089,COA!$B$5:$B$59,0)),"")</f>
        <v/>
      </c>
      <c r="G1089" s="204"/>
      <c r="H1089" s="204"/>
    </row>
    <row r="1090" spans="2:8" ht="15" customHeight="1" x14ac:dyDescent="0.2">
      <c r="B1090" s="30"/>
      <c r="C1090" s="24"/>
      <c r="D1090" s="24"/>
      <c r="E1090" s="24"/>
      <c r="F1090" s="24" t="str">
        <f t="array" ref="F1090">IFERROR(INDEX(COA!$C$5:$C$59,MATCH(JURNAL!E1090,COA!$B$5:$B$59,0)),"")</f>
        <v/>
      </c>
      <c r="G1090" s="204"/>
      <c r="H1090" s="204"/>
    </row>
    <row r="1091" spans="2:8" ht="15" customHeight="1" x14ac:dyDescent="0.2">
      <c r="B1091" s="30"/>
      <c r="C1091" s="24"/>
      <c r="D1091" s="24"/>
      <c r="E1091" s="24"/>
      <c r="F1091" s="24" t="str">
        <f t="array" ref="F1091">IFERROR(INDEX(COA!$C$5:$C$59,MATCH(JURNAL!E1091,COA!$B$5:$B$59,0)),"")</f>
        <v/>
      </c>
      <c r="G1091" s="204"/>
      <c r="H1091" s="204"/>
    </row>
    <row r="1092" spans="2:8" ht="15" customHeight="1" x14ac:dyDescent="0.2">
      <c r="B1092" s="30"/>
      <c r="C1092" s="24"/>
      <c r="D1092" s="24"/>
      <c r="E1092" s="24"/>
      <c r="F1092" s="24" t="str">
        <f t="array" ref="F1092">IFERROR(INDEX(COA!$C$5:$C$59,MATCH(JURNAL!E1092,COA!$B$5:$B$59,0)),"")</f>
        <v/>
      </c>
      <c r="G1092" s="204"/>
      <c r="H1092" s="204"/>
    </row>
    <row r="1093" spans="2:8" ht="15" customHeight="1" x14ac:dyDescent="0.2">
      <c r="B1093" s="30"/>
      <c r="C1093" s="24"/>
      <c r="D1093" s="24"/>
      <c r="E1093" s="24"/>
      <c r="F1093" s="24" t="str">
        <f t="array" ref="F1093">IFERROR(INDEX(COA!$C$5:$C$59,MATCH(JURNAL!E1093,COA!$B$5:$B$59,0)),"")</f>
        <v/>
      </c>
      <c r="G1093" s="204"/>
      <c r="H1093" s="204"/>
    </row>
    <row r="1094" spans="2:8" ht="15" customHeight="1" x14ac:dyDescent="0.2">
      <c r="B1094" s="30"/>
      <c r="C1094" s="24"/>
      <c r="D1094" s="24"/>
      <c r="E1094" s="24"/>
      <c r="F1094" s="24" t="str">
        <f t="array" ref="F1094">IFERROR(INDEX(COA!$C$5:$C$59,MATCH(JURNAL!E1094,COA!$B$5:$B$59,0)),"")</f>
        <v/>
      </c>
      <c r="G1094" s="204"/>
      <c r="H1094" s="204"/>
    </row>
    <row r="1095" spans="2:8" ht="15" customHeight="1" x14ac:dyDescent="0.2">
      <c r="B1095" s="30"/>
      <c r="C1095" s="24"/>
      <c r="D1095" s="24"/>
      <c r="E1095" s="24"/>
      <c r="F1095" s="24" t="str">
        <f t="array" ref="F1095">IFERROR(INDEX(COA!$C$5:$C$59,MATCH(JURNAL!E1095,COA!$B$5:$B$59,0)),"")</f>
        <v/>
      </c>
      <c r="G1095" s="204"/>
      <c r="H1095" s="204"/>
    </row>
    <row r="1096" spans="2:8" ht="15" customHeight="1" x14ac:dyDescent="0.2">
      <c r="B1096" s="30"/>
      <c r="C1096" s="24"/>
      <c r="D1096" s="24"/>
      <c r="E1096" s="24"/>
      <c r="F1096" s="24" t="str">
        <f t="array" ref="F1096">IFERROR(INDEX(COA!$C$5:$C$59,MATCH(JURNAL!E1096,COA!$B$5:$B$59,0)),"")</f>
        <v/>
      </c>
      <c r="G1096" s="204"/>
      <c r="H1096" s="204"/>
    </row>
    <row r="1097" spans="2:8" ht="15" customHeight="1" x14ac:dyDescent="0.2">
      <c r="B1097" s="30"/>
      <c r="C1097" s="24"/>
      <c r="D1097" s="24"/>
      <c r="E1097" s="24"/>
      <c r="F1097" s="24" t="str">
        <f t="array" ref="F1097">IFERROR(INDEX(COA!$C$5:$C$59,MATCH(JURNAL!E1097,COA!$B$5:$B$59,0)),"")</f>
        <v/>
      </c>
      <c r="G1097" s="204"/>
      <c r="H1097" s="204"/>
    </row>
    <row r="1098" spans="2:8" ht="15" customHeight="1" x14ac:dyDescent="0.2">
      <c r="B1098" s="30"/>
      <c r="C1098" s="24"/>
      <c r="D1098" s="24"/>
      <c r="E1098" s="24"/>
      <c r="F1098" s="24" t="str">
        <f t="array" ref="F1098">IFERROR(INDEX(COA!$C$5:$C$59,MATCH(JURNAL!E1098,COA!$B$5:$B$59,0)),"")</f>
        <v/>
      </c>
      <c r="G1098" s="204"/>
      <c r="H1098" s="204"/>
    </row>
    <row r="1099" spans="2:8" ht="15" customHeight="1" x14ac:dyDescent="0.2">
      <c r="B1099" s="30"/>
      <c r="C1099" s="24"/>
      <c r="D1099" s="24"/>
      <c r="E1099" s="24"/>
      <c r="F1099" s="24" t="str">
        <f t="array" ref="F1099">IFERROR(INDEX(COA!$C$5:$C$59,MATCH(JURNAL!E1099,COA!$B$5:$B$59,0)),"")</f>
        <v/>
      </c>
      <c r="G1099" s="204"/>
      <c r="H1099" s="204"/>
    </row>
    <row r="1100" spans="2:8" ht="15" customHeight="1" x14ac:dyDescent="0.2">
      <c r="B1100" s="30"/>
      <c r="C1100" s="24"/>
      <c r="D1100" s="24"/>
      <c r="E1100" s="24"/>
      <c r="F1100" s="24" t="str">
        <f t="array" ref="F1100">IFERROR(INDEX(COA!$C$5:$C$59,MATCH(JURNAL!E1100,COA!$B$5:$B$59,0)),"")</f>
        <v/>
      </c>
      <c r="G1100" s="204"/>
      <c r="H1100" s="204"/>
    </row>
    <row r="1101" spans="2:8" ht="15" customHeight="1" x14ac:dyDescent="0.2">
      <c r="B1101" s="30"/>
      <c r="C1101" s="24"/>
      <c r="D1101" s="24"/>
      <c r="E1101" s="24"/>
      <c r="F1101" s="24" t="str">
        <f t="array" ref="F1101">IFERROR(INDEX(COA!$C$5:$C$59,MATCH(JURNAL!E1101,COA!$B$5:$B$59,0)),"")</f>
        <v/>
      </c>
      <c r="G1101" s="204"/>
      <c r="H1101" s="204"/>
    </row>
    <row r="1102" spans="2:8" ht="15" customHeight="1" x14ac:dyDescent="0.2">
      <c r="B1102" s="30"/>
      <c r="C1102" s="24"/>
      <c r="D1102" s="24"/>
      <c r="E1102" s="24"/>
      <c r="F1102" s="24" t="str">
        <f t="array" ref="F1102">IFERROR(INDEX(COA!$C$5:$C$59,MATCH(JURNAL!E1102,COA!$B$5:$B$59,0)),"")</f>
        <v/>
      </c>
      <c r="G1102" s="204"/>
      <c r="H1102" s="204"/>
    </row>
    <row r="1103" spans="2:8" ht="15" customHeight="1" x14ac:dyDescent="0.2">
      <c r="B1103" s="30"/>
      <c r="C1103" s="24"/>
      <c r="D1103" s="24"/>
      <c r="E1103" s="24"/>
      <c r="F1103" s="24" t="str">
        <f t="array" ref="F1103">IFERROR(INDEX(COA!$C$5:$C$59,MATCH(JURNAL!E1103,COA!$B$5:$B$59,0)),"")</f>
        <v/>
      </c>
      <c r="G1103" s="204"/>
      <c r="H1103" s="204"/>
    </row>
    <row r="1104" spans="2:8" ht="15" customHeight="1" x14ac:dyDescent="0.2">
      <c r="B1104" s="30"/>
      <c r="C1104" s="24"/>
      <c r="D1104" s="24"/>
      <c r="E1104" s="24"/>
      <c r="F1104" s="24" t="str">
        <f t="array" ref="F1104">IFERROR(INDEX(COA!$C$5:$C$59,MATCH(JURNAL!E1104,COA!$B$5:$B$59,0)),"")</f>
        <v/>
      </c>
      <c r="G1104" s="204"/>
      <c r="H1104" s="204"/>
    </row>
    <row r="1105" spans="2:8" ht="15" customHeight="1" x14ac:dyDescent="0.2">
      <c r="B1105" s="30"/>
      <c r="C1105" s="24"/>
      <c r="D1105" s="24"/>
      <c r="E1105" s="24"/>
      <c r="F1105" s="24" t="str">
        <f t="array" ref="F1105">IFERROR(INDEX(COA!$C$5:$C$59,MATCH(JURNAL!E1105,COA!$B$5:$B$59,0)),"")</f>
        <v/>
      </c>
      <c r="G1105" s="204"/>
      <c r="H1105" s="204"/>
    </row>
    <row r="1106" spans="2:8" ht="15" customHeight="1" x14ac:dyDescent="0.2">
      <c r="B1106" s="30"/>
      <c r="C1106" s="24"/>
      <c r="D1106" s="24"/>
      <c r="E1106" s="24"/>
      <c r="F1106" s="24" t="str">
        <f t="array" ref="F1106">IFERROR(INDEX(COA!$C$5:$C$59,MATCH(JURNAL!E1106,COA!$B$5:$B$59,0)),"")</f>
        <v/>
      </c>
      <c r="G1106" s="204"/>
      <c r="H1106" s="204"/>
    </row>
    <row r="1107" spans="2:8" ht="15" customHeight="1" x14ac:dyDescent="0.2">
      <c r="B1107" s="30"/>
      <c r="C1107" s="24"/>
      <c r="D1107" s="24"/>
      <c r="E1107" s="24"/>
      <c r="F1107" s="24" t="str">
        <f t="array" ref="F1107">IFERROR(INDEX(COA!$C$5:$C$59,MATCH(JURNAL!E1107,COA!$B$5:$B$59,0)),"")</f>
        <v/>
      </c>
      <c r="G1107" s="204"/>
      <c r="H1107" s="204"/>
    </row>
    <row r="1108" spans="2:8" ht="15" customHeight="1" x14ac:dyDescent="0.2">
      <c r="B1108" s="30"/>
      <c r="C1108" s="24"/>
      <c r="D1108" s="24"/>
      <c r="E1108" s="24"/>
      <c r="F1108" s="24" t="str">
        <f t="array" ref="F1108">IFERROR(INDEX(COA!$C$5:$C$59,MATCH(JURNAL!E1108,COA!$B$5:$B$59,0)),"")</f>
        <v/>
      </c>
      <c r="G1108" s="204"/>
      <c r="H1108" s="204"/>
    </row>
    <row r="1109" spans="2:8" ht="15" customHeight="1" x14ac:dyDescent="0.2">
      <c r="B1109" s="30"/>
      <c r="C1109" s="24"/>
      <c r="D1109" s="24"/>
      <c r="E1109" s="24"/>
      <c r="F1109" s="24" t="str">
        <f t="array" ref="F1109">IFERROR(INDEX(COA!$C$5:$C$59,MATCH(JURNAL!E1109,COA!$B$5:$B$59,0)),"")</f>
        <v/>
      </c>
      <c r="G1109" s="204"/>
      <c r="H1109" s="204"/>
    </row>
    <row r="1110" spans="2:8" ht="15" customHeight="1" x14ac:dyDescent="0.2">
      <c r="B1110" s="30"/>
      <c r="C1110" s="24"/>
      <c r="D1110" s="24"/>
      <c r="E1110" s="24"/>
      <c r="F1110" s="24" t="str">
        <f t="array" ref="F1110">IFERROR(INDEX(COA!$C$5:$C$59,MATCH(JURNAL!E1110,COA!$B$5:$B$59,0)),"")</f>
        <v/>
      </c>
      <c r="G1110" s="204"/>
      <c r="H1110" s="204"/>
    </row>
    <row r="1111" spans="2:8" ht="15" customHeight="1" x14ac:dyDescent="0.2">
      <c r="B1111" s="30"/>
      <c r="C1111" s="24"/>
      <c r="D1111" s="24"/>
      <c r="E1111" s="24"/>
      <c r="F1111" s="24" t="str">
        <f t="array" ref="F1111">IFERROR(INDEX(COA!$C$5:$C$59,MATCH(JURNAL!E1111,COA!$B$5:$B$59,0)),"")</f>
        <v/>
      </c>
      <c r="G1111" s="204"/>
      <c r="H1111" s="204"/>
    </row>
    <row r="1112" spans="2:8" ht="15" customHeight="1" x14ac:dyDescent="0.2">
      <c r="B1112" s="30"/>
      <c r="C1112" s="24"/>
      <c r="D1112" s="24"/>
      <c r="E1112" s="24"/>
      <c r="F1112" s="24" t="str">
        <f t="array" ref="F1112">IFERROR(INDEX(COA!$C$5:$C$59,MATCH(JURNAL!E1112,COA!$B$5:$B$59,0)),"")</f>
        <v/>
      </c>
      <c r="G1112" s="204"/>
      <c r="H1112" s="204"/>
    </row>
    <row r="1113" spans="2:8" ht="15" customHeight="1" x14ac:dyDescent="0.2">
      <c r="B1113" s="30"/>
      <c r="C1113" s="24"/>
      <c r="D1113" s="24"/>
      <c r="E1113" s="24"/>
      <c r="F1113" s="24" t="str">
        <f t="array" ref="F1113">IFERROR(INDEX(COA!$C$5:$C$59,MATCH(JURNAL!E1113,COA!$B$5:$B$59,0)),"")</f>
        <v/>
      </c>
      <c r="G1113" s="204"/>
      <c r="H1113" s="204"/>
    </row>
    <row r="1114" spans="2:8" ht="15" customHeight="1" x14ac:dyDescent="0.2">
      <c r="B1114" s="30"/>
      <c r="C1114" s="24"/>
      <c r="D1114" s="24"/>
      <c r="E1114" s="24"/>
      <c r="F1114" s="24" t="str">
        <f t="array" ref="F1114">IFERROR(INDEX(COA!$C$5:$C$59,MATCH(JURNAL!E1114,COA!$B$5:$B$59,0)),"")</f>
        <v/>
      </c>
      <c r="G1114" s="204"/>
      <c r="H1114" s="204"/>
    </row>
    <row r="1115" spans="2:8" ht="15" customHeight="1" x14ac:dyDescent="0.2">
      <c r="B1115" s="30"/>
      <c r="C1115" s="24"/>
      <c r="D1115" s="24"/>
      <c r="E1115" s="24"/>
      <c r="F1115" s="24" t="str">
        <f t="array" ref="F1115">IFERROR(INDEX(COA!$C$5:$C$59,MATCH(JURNAL!E1115,COA!$B$5:$B$59,0)),"")</f>
        <v/>
      </c>
      <c r="G1115" s="204"/>
      <c r="H1115" s="204"/>
    </row>
    <row r="1116" spans="2:8" ht="15" customHeight="1" x14ac:dyDescent="0.2">
      <c r="B1116" s="30"/>
      <c r="C1116" s="24"/>
      <c r="D1116" s="24"/>
      <c r="E1116" s="24"/>
      <c r="F1116" s="24" t="str">
        <f t="array" ref="F1116">IFERROR(INDEX(COA!$C$5:$C$59,MATCH(JURNAL!E1116,COA!$B$5:$B$59,0)),"")</f>
        <v/>
      </c>
      <c r="G1116" s="204"/>
      <c r="H1116" s="204"/>
    </row>
    <row r="1117" spans="2:8" ht="15" customHeight="1" x14ac:dyDescent="0.2">
      <c r="B1117" s="30"/>
      <c r="C1117" s="24"/>
      <c r="D1117" s="24"/>
      <c r="E1117" s="24"/>
      <c r="F1117" s="24" t="str">
        <f t="array" ref="F1117">IFERROR(INDEX(COA!$C$5:$C$59,MATCH(JURNAL!E1117,COA!$B$5:$B$59,0)),"")</f>
        <v/>
      </c>
      <c r="G1117" s="204"/>
      <c r="H1117" s="204"/>
    </row>
    <row r="1118" spans="2:8" ht="15" customHeight="1" x14ac:dyDescent="0.2">
      <c r="B1118" s="30"/>
      <c r="C1118" s="24"/>
      <c r="D1118" s="24"/>
      <c r="E1118" s="24"/>
      <c r="F1118" s="24" t="str">
        <f t="array" ref="F1118">IFERROR(INDEX(COA!$C$5:$C$59,MATCH(JURNAL!E1118,COA!$B$5:$B$59,0)),"")</f>
        <v/>
      </c>
      <c r="G1118" s="204"/>
      <c r="H1118" s="204"/>
    </row>
    <row r="1119" spans="2:8" ht="15" customHeight="1" x14ac:dyDescent="0.2">
      <c r="B1119" s="30"/>
      <c r="C1119" s="24"/>
      <c r="D1119" s="24"/>
      <c r="E1119" s="24"/>
      <c r="F1119" s="24" t="str">
        <f t="array" ref="F1119">IFERROR(INDEX(COA!$C$5:$C$59,MATCH(JURNAL!E1119,COA!$B$5:$B$59,0)),"")</f>
        <v/>
      </c>
      <c r="G1119" s="204"/>
      <c r="H1119" s="204"/>
    </row>
    <row r="1120" spans="2:8" ht="15" customHeight="1" x14ac:dyDescent="0.2">
      <c r="B1120" s="30"/>
      <c r="C1120" s="24"/>
      <c r="D1120" s="24"/>
      <c r="E1120" s="24"/>
      <c r="F1120" s="24" t="str">
        <f t="array" ref="F1120">IFERROR(INDEX(COA!$C$5:$C$59,MATCH(JURNAL!E1120,COA!$B$5:$B$59,0)),"")</f>
        <v/>
      </c>
      <c r="G1120" s="204"/>
      <c r="H1120" s="204"/>
    </row>
    <row r="1121" spans="2:8" ht="15" customHeight="1" x14ac:dyDescent="0.2">
      <c r="B1121" s="30"/>
      <c r="C1121" s="24"/>
      <c r="D1121" s="24"/>
      <c r="E1121" s="24"/>
      <c r="F1121" s="24" t="str">
        <f t="array" ref="F1121">IFERROR(INDEX(COA!$C$5:$C$59,MATCH(JURNAL!E1121,COA!$B$5:$B$59,0)),"")</f>
        <v/>
      </c>
      <c r="G1121" s="204"/>
      <c r="H1121" s="204"/>
    </row>
    <row r="1122" spans="2:8" ht="15" customHeight="1" x14ac:dyDescent="0.2">
      <c r="B1122" s="30"/>
      <c r="C1122" s="24"/>
      <c r="D1122" s="24"/>
      <c r="E1122" s="24"/>
      <c r="F1122" s="24" t="str">
        <f t="array" ref="F1122">IFERROR(INDEX(COA!$C$5:$C$59,MATCH(JURNAL!E1122,COA!$B$5:$B$59,0)),"")</f>
        <v/>
      </c>
      <c r="G1122" s="204"/>
      <c r="H1122" s="204"/>
    </row>
    <row r="1123" spans="2:8" ht="15" customHeight="1" x14ac:dyDescent="0.2">
      <c r="B1123" s="30"/>
      <c r="C1123" s="24"/>
      <c r="D1123" s="24"/>
      <c r="E1123" s="24"/>
      <c r="F1123" s="24" t="str">
        <f t="array" ref="F1123">IFERROR(INDEX(COA!$C$5:$C$59,MATCH(JURNAL!E1123,COA!$B$5:$B$59,0)),"")</f>
        <v/>
      </c>
      <c r="G1123" s="204"/>
      <c r="H1123" s="204"/>
    </row>
    <row r="1124" spans="2:8" ht="15" customHeight="1" x14ac:dyDescent="0.2">
      <c r="B1124" s="30"/>
      <c r="C1124" s="24"/>
      <c r="D1124" s="24"/>
      <c r="E1124" s="24"/>
      <c r="F1124" s="24" t="str">
        <f t="array" ref="F1124">IFERROR(INDEX(COA!$C$5:$C$59,MATCH(JURNAL!E1124,COA!$B$5:$B$59,0)),"")</f>
        <v/>
      </c>
      <c r="G1124" s="204"/>
      <c r="H1124" s="204"/>
    </row>
    <row r="1125" spans="2:8" ht="15" customHeight="1" x14ac:dyDescent="0.2">
      <c r="B1125" s="30"/>
      <c r="C1125" s="24"/>
      <c r="D1125" s="24"/>
      <c r="E1125" s="24"/>
      <c r="F1125" s="24" t="str">
        <f t="array" ref="F1125">IFERROR(INDEX(COA!$C$5:$C$59,MATCH(JURNAL!E1125,COA!$B$5:$B$59,0)),"")</f>
        <v/>
      </c>
      <c r="G1125" s="204"/>
      <c r="H1125" s="204"/>
    </row>
    <row r="1126" spans="2:8" ht="15" customHeight="1" x14ac:dyDescent="0.2">
      <c r="B1126" s="30"/>
      <c r="C1126" s="24"/>
      <c r="D1126" s="24"/>
      <c r="E1126" s="24"/>
      <c r="F1126" s="24" t="str">
        <f t="array" ref="F1126">IFERROR(INDEX(COA!$C$5:$C$59,MATCH(JURNAL!E1126,COA!$B$5:$B$59,0)),"")</f>
        <v/>
      </c>
      <c r="G1126" s="204"/>
      <c r="H1126" s="204"/>
    </row>
    <row r="1127" spans="2:8" ht="15" customHeight="1" x14ac:dyDescent="0.2">
      <c r="B1127" s="30"/>
      <c r="C1127" s="24"/>
      <c r="D1127" s="24"/>
      <c r="E1127" s="24"/>
      <c r="F1127" s="24" t="str">
        <f t="array" ref="F1127">IFERROR(INDEX(COA!$C$5:$C$59,MATCH(JURNAL!E1127,COA!$B$5:$B$59,0)),"")</f>
        <v/>
      </c>
      <c r="G1127" s="204"/>
      <c r="H1127" s="204"/>
    </row>
    <row r="1128" spans="2:8" ht="15" customHeight="1" x14ac:dyDescent="0.2">
      <c r="B1128" s="30"/>
      <c r="C1128" s="24"/>
      <c r="D1128" s="24"/>
      <c r="E1128" s="24"/>
      <c r="F1128" s="24" t="str">
        <f t="array" ref="F1128">IFERROR(INDEX(COA!$C$5:$C$59,MATCH(JURNAL!E1128,COA!$B$5:$B$59,0)),"")</f>
        <v/>
      </c>
      <c r="G1128" s="204"/>
      <c r="H1128" s="204"/>
    </row>
    <row r="1129" spans="2:8" ht="15" customHeight="1" x14ac:dyDescent="0.2">
      <c r="B1129" s="30"/>
      <c r="C1129" s="24"/>
      <c r="D1129" s="24"/>
      <c r="E1129" s="24"/>
      <c r="F1129" s="24" t="str">
        <f t="array" ref="F1129">IFERROR(INDEX(COA!$C$5:$C$59,MATCH(JURNAL!E1129,COA!$B$5:$B$59,0)),"")</f>
        <v/>
      </c>
      <c r="G1129" s="204"/>
      <c r="H1129" s="204"/>
    </row>
    <row r="1130" spans="2:8" ht="15" customHeight="1" x14ac:dyDescent="0.2">
      <c r="B1130" s="30"/>
      <c r="C1130" s="24"/>
      <c r="D1130" s="24"/>
      <c r="E1130" s="24"/>
      <c r="F1130" s="24" t="str">
        <f t="array" ref="F1130">IFERROR(INDEX(COA!$C$5:$C$59,MATCH(JURNAL!E1130,COA!$B$5:$B$59,0)),"")</f>
        <v/>
      </c>
      <c r="G1130" s="204"/>
      <c r="H1130" s="204"/>
    </row>
    <row r="1131" spans="2:8" ht="15" customHeight="1" x14ac:dyDescent="0.2">
      <c r="B1131" s="30"/>
      <c r="C1131" s="24"/>
      <c r="D1131" s="24"/>
      <c r="E1131" s="24"/>
      <c r="F1131" s="24" t="str">
        <f t="array" ref="F1131">IFERROR(INDEX(COA!$C$5:$C$59,MATCH(JURNAL!E1131,COA!$B$5:$B$59,0)),"")</f>
        <v/>
      </c>
      <c r="G1131" s="204"/>
      <c r="H1131" s="204"/>
    </row>
    <row r="1132" spans="2:8" ht="15" customHeight="1" x14ac:dyDescent="0.2">
      <c r="B1132" s="30"/>
      <c r="C1132" s="24"/>
      <c r="D1132" s="24"/>
      <c r="E1132" s="24"/>
      <c r="F1132" s="24" t="str">
        <f t="array" ref="F1132">IFERROR(INDEX(COA!$C$5:$C$59,MATCH(JURNAL!E1132,COA!$B$5:$B$59,0)),"")</f>
        <v/>
      </c>
      <c r="G1132" s="204"/>
      <c r="H1132" s="204"/>
    </row>
    <row r="1133" spans="2:8" ht="15" customHeight="1" x14ac:dyDescent="0.2">
      <c r="B1133" s="30"/>
      <c r="C1133" s="24"/>
      <c r="D1133" s="24"/>
      <c r="E1133" s="24"/>
      <c r="F1133" s="24" t="str">
        <f t="array" ref="F1133">IFERROR(INDEX(COA!$C$5:$C$59,MATCH(JURNAL!E1133,COA!$B$5:$B$59,0)),"")</f>
        <v/>
      </c>
      <c r="G1133" s="204"/>
      <c r="H1133" s="204"/>
    </row>
    <row r="1134" spans="2:8" ht="15" customHeight="1" x14ac:dyDescent="0.2">
      <c r="B1134" s="30"/>
      <c r="C1134" s="24"/>
      <c r="D1134" s="24"/>
      <c r="E1134" s="24"/>
      <c r="F1134" s="24" t="str">
        <f t="array" ref="F1134">IFERROR(INDEX(COA!$C$5:$C$59,MATCH(JURNAL!E1134,COA!$B$5:$B$59,0)),"")</f>
        <v/>
      </c>
      <c r="G1134" s="204"/>
      <c r="H1134" s="204"/>
    </row>
    <row r="1135" spans="2:8" ht="15" customHeight="1" x14ac:dyDescent="0.2">
      <c r="B1135" s="30"/>
      <c r="C1135" s="24"/>
      <c r="D1135" s="24"/>
      <c r="E1135" s="24"/>
      <c r="F1135" s="24" t="str">
        <f t="array" ref="F1135">IFERROR(INDEX(COA!$C$5:$C$59,MATCH(JURNAL!E1135,COA!$B$5:$B$59,0)),"")</f>
        <v/>
      </c>
      <c r="G1135" s="204"/>
      <c r="H1135" s="204"/>
    </row>
    <row r="1136" spans="2:8" ht="15" customHeight="1" x14ac:dyDescent="0.2">
      <c r="B1136" s="30"/>
      <c r="C1136" s="24"/>
      <c r="D1136" s="24"/>
      <c r="E1136" s="24"/>
      <c r="F1136" s="24" t="str">
        <f t="array" ref="F1136">IFERROR(INDEX(COA!$C$5:$C$59,MATCH(JURNAL!E1136,COA!$B$5:$B$59,0)),"")</f>
        <v/>
      </c>
      <c r="G1136" s="204"/>
      <c r="H1136" s="204"/>
    </row>
    <row r="1137" spans="2:8" ht="15" customHeight="1" x14ac:dyDescent="0.2">
      <c r="B1137" s="30"/>
      <c r="C1137" s="24"/>
      <c r="D1137" s="24"/>
      <c r="E1137" s="24"/>
      <c r="F1137" s="24" t="str">
        <f t="array" ref="F1137">IFERROR(INDEX(COA!$C$5:$C$59,MATCH(JURNAL!E1137,COA!$B$5:$B$59,0)),"")</f>
        <v/>
      </c>
      <c r="G1137" s="204"/>
      <c r="H1137" s="204"/>
    </row>
    <row r="1138" spans="2:8" ht="15" customHeight="1" x14ac:dyDescent="0.2">
      <c r="B1138" s="30"/>
      <c r="C1138" s="24"/>
      <c r="D1138" s="24"/>
      <c r="E1138" s="24"/>
      <c r="F1138" s="24" t="str">
        <f t="array" ref="F1138">IFERROR(INDEX(COA!$C$5:$C$59,MATCH(JURNAL!E1138,COA!$B$5:$B$59,0)),"")</f>
        <v/>
      </c>
      <c r="G1138" s="204"/>
      <c r="H1138" s="204"/>
    </row>
    <row r="1139" spans="2:8" ht="15" customHeight="1" x14ac:dyDescent="0.2">
      <c r="B1139" s="30"/>
      <c r="C1139" s="24"/>
      <c r="D1139" s="24"/>
      <c r="E1139" s="24"/>
      <c r="F1139" s="24" t="str">
        <f t="array" ref="F1139">IFERROR(INDEX(COA!$C$5:$C$59,MATCH(JURNAL!E1139,COA!$B$5:$B$59,0)),"")</f>
        <v/>
      </c>
      <c r="G1139" s="204"/>
      <c r="H1139" s="204"/>
    </row>
    <row r="1140" spans="2:8" ht="15" customHeight="1" x14ac:dyDescent="0.2">
      <c r="B1140" s="30"/>
      <c r="C1140" s="24"/>
      <c r="D1140" s="24"/>
      <c r="E1140" s="24"/>
      <c r="F1140" s="24" t="str">
        <f t="array" ref="F1140">IFERROR(INDEX(COA!$C$5:$C$59,MATCH(JURNAL!E1140,COA!$B$5:$B$59,0)),"")</f>
        <v/>
      </c>
      <c r="G1140" s="204"/>
      <c r="H1140" s="204"/>
    </row>
    <row r="1141" spans="2:8" ht="15" customHeight="1" x14ac:dyDescent="0.2">
      <c r="B1141" s="30"/>
      <c r="C1141" s="24"/>
      <c r="D1141" s="24"/>
      <c r="E1141" s="24"/>
      <c r="F1141" s="24" t="str">
        <f t="array" ref="F1141">IFERROR(INDEX(COA!$C$5:$C$59,MATCH(JURNAL!E1141,COA!$B$5:$B$59,0)),"")</f>
        <v/>
      </c>
      <c r="G1141" s="204"/>
      <c r="H1141" s="204"/>
    </row>
    <row r="1142" spans="2:8" ht="15" customHeight="1" x14ac:dyDescent="0.2">
      <c r="B1142" s="30"/>
      <c r="C1142" s="24"/>
      <c r="D1142" s="24"/>
      <c r="E1142" s="24"/>
      <c r="F1142" s="24" t="str">
        <f t="array" ref="F1142">IFERROR(INDEX(COA!$C$5:$C$59,MATCH(JURNAL!E1142,COA!$B$5:$B$59,0)),"")</f>
        <v/>
      </c>
      <c r="G1142" s="204"/>
      <c r="H1142" s="204"/>
    </row>
    <row r="1143" spans="2:8" ht="15" customHeight="1" x14ac:dyDescent="0.2">
      <c r="B1143" s="30"/>
      <c r="C1143" s="24"/>
      <c r="D1143" s="24"/>
      <c r="E1143" s="24"/>
      <c r="F1143" s="24" t="str">
        <f t="array" ref="F1143">IFERROR(INDEX(COA!$C$5:$C$59,MATCH(JURNAL!E1143,COA!$B$5:$B$59,0)),"")</f>
        <v/>
      </c>
      <c r="G1143" s="204"/>
      <c r="H1143" s="204"/>
    </row>
    <row r="1144" spans="2:8" ht="15" customHeight="1" x14ac:dyDescent="0.2">
      <c r="B1144" s="30"/>
      <c r="C1144" s="24"/>
      <c r="D1144" s="24"/>
      <c r="E1144" s="24"/>
      <c r="F1144" s="24" t="str">
        <f t="array" ref="F1144">IFERROR(INDEX(COA!$C$5:$C$59,MATCH(JURNAL!E1144,COA!$B$5:$B$59,0)),"")</f>
        <v/>
      </c>
      <c r="G1144" s="204"/>
      <c r="H1144" s="204"/>
    </row>
    <row r="1145" spans="2:8" ht="15" customHeight="1" x14ac:dyDescent="0.2">
      <c r="B1145" s="30"/>
      <c r="C1145" s="24"/>
      <c r="D1145" s="24"/>
      <c r="E1145" s="24"/>
      <c r="F1145" s="24" t="str">
        <f t="array" ref="F1145">IFERROR(INDEX(COA!$C$5:$C$59,MATCH(JURNAL!E1145,COA!$B$5:$B$59,0)),"")</f>
        <v/>
      </c>
      <c r="G1145" s="204"/>
      <c r="H1145" s="204"/>
    </row>
    <row r="1146" spans="2:8" ht="15" customHeight="1" x14ac:dyDescent="0.2">
      <c r="B1146" s="30"/>
      <c r="C1146" s="24"/>
      <c r="D1146" s="24"/>
      <c r="E1146" s="24"/>
      <c r="F1146" s="24" t="str">
        <f t="array" ref="F1146">IFERROR(INDEX(COA!$C$5:$C$59,MATCH(JURNAL!E1146,COA!$B$5:$B$59,0)),"")</f>
        <v/>
      </c>
      <c r="G1146" s="204"/>
      <c r="H1146" s="204"/>
    </row>
    <row r="1147" spans="2:8" ht="15" customHeight="1" x14ac:dyDescent="0.2">
      <c r="B1147" s="30"/>
      <c r="C1147" s="24"/>
      <c r="D1147" s="24"/>
      <c r="E1147" s="24"/>
      <c r="F1147" s="24" t="str">
        <f t="array" ref="F1147">IFERROR(INDEX(COA!$C$5:$C$59,MATCH(JURNAL!E1147,COA!$B$5:$B$59,0)),"")</f>
        <v/>
      </c>
      <c r="G1147" s="204"/>
      <c r="H1147" s="204"/>
    </row>
    <row r="1148" spans="2:8" ht="15" customHeight="1" x14ac:dyDescent="0.2">
      <c r="B1148" s="30"/>
      <c r="C1148" s="24"/>
      <c r="D1148" s="24"/>
      <c r="E1148" s="24"/>
      <c r="F1148" s="24" t="str">
        <f t="array" ref="F1148">IFERROR(INDEX(COA!$C$5:$C$59,MATCH(JURNAL!E1148,COA!$B$5:$B$59,0)),"")</f>
        <v/>
      </c>
      <c r="G1148" s="204"/>
      <c r="H1148" s="204"/>
    </row>
    <row r="1149" spans="2:8" ht="15" customHeight="1" x14ac:dyDescent="0.2">
      <c r="B1149" s="30"/>
      <c r="C1149" s="24"/>
      <c r="D1149" s="24"/>
      <c r="E1149" s="24"/>
      <c r="F1149" s="24" t="str">
        <f t="array" ref="F1149">IFERROR(INDEX(COA!$C$5:$C$59,MATCH(JURNAL!E1149,COA!$B$5:$B$59,0)),"")</f>
        <v/>
      </c>
      <c r="G1149" s="204"/>
      <c r="H1149" s="204"/>
    </row>
    <row r="1150" spans="2:8" ht="15" customHeight="1" x14ac:dyDescent="0.2">
      <c r="B1150" s="30"/>
      <c r="C1150" s="24"/>
      <c r="D1150" s="24"/>
      <c r="E1150" s="24"/>
      <c r="F1150" s="24" t="str">
        <f t="array" ref="F1150">IFERROR(INDEX(COA!$C$5:$C$59,MATCH(JURNAL!E1150,COA!$B$5:$B$59,0)),"")</f>
        <v/>
      </c>
      <c r="G1150" s="204"/>
      <c r="H1150" s="204"/>
    </row>
    <row r="1151" spans="2:8" ht="15" customHeight="1" x14ac:dyDescent="0.2">
      <c r="B1151" s="30"/>
      <c r="C1151" s="24"/>
      <c r="D1151" s="24"/>
      <c r="E1151" s="24"/>
      <c r="F1151" s="24" t="str">
        <f t="array" ref="F1151">IFERROR(INDEX(COA!$C$5:$C$59,MATCH(JURNAL!E1151,COA!$B$5:$B$59,0)),"")</f>
        <v/>
      </c>
      <c r="G1151" s="204"/>
      <c r="H1151" s="204"/>
    </row>
    <row r="1152" spans="2:8" ht="15" customHeight="1" x14ac:dyDescent="0.2">
      <c r="B1152" s="30"/>
      <c r="C1152" s="24"/>
      <c r="D1152" s="24"/>
      <c r="E1152" s="24"/>
      <c r="F1152" s="24" t="str">
        <f t="array" ref="F1152">IFERROR(INDEX(COA!$C$5:$C$59,MATCH(JURNAL!E1152,COA!$B$5:$B$59,0)),"")</f>
        <v/>
      </c>
      <c r="G1152" s="204"/>
      <c r="H1152" s="204"/>
    </row>
    <row r="1153" spans="2:8" ht="15" customHeight="1" x14ac:dyDescent="0.2">
      <c r="B1153" s="30"/>
      <c r="C1153" s="24"/>
      <c r="D1153" s="24"/>
      <c r="E1153" s="24"/>
      <c r="F1153" s="24" t="str">
        <f t="array" ref="F1153">IFERROR(INDEX(COA!$C$5:$C$59,MATCH(JURNAL!E1153,COA!$B$5:$B$59,0)),"")</f>
        <v/>
      </c>
      <c r="G1153" s="204"/>
      <c r="H1153" s="204"/>
    </row>
    <row r="1154" spans="2:8" ht="15" customHeight="1" x14ac:dyDescent="0.2">
      <c r="B1154" s="30"/>
      <c r="C1154" s="24"/>
      <c r="D1154" s="24"/>
      <c r="E1154" s="24"/>
      <c r="F1154" s="24" t="str">
        <f t="array" ref="F1154">IFERROR(INDEX(COA!$C$5:$C$59,MATCH(JURNAL!E1154,COA!$B$5:$B$59,0)),"")</f>
        <v/>
      </c>
      <c r="G1154" s="204"/>
      <c r="H1154" s="204"/>
    </row>
    <row r="1155" spans="2:8" ht="15" customHeight="1" x14ac:dyDescent="0.2">
      <c r="B1155" s="30"/>
      <c r="C1155" s="24"/>
      <c r="D1155" s="24"/>
      <c r="E1155" s="24"/>
      <c r="F1155" s="24" t="str">
        <f t="array" ref="F1155">IFERROR(INDEX(COA!$C$5:$C$59,MATCH(JURNAL!E1155,COA!$B$5:$B$59,0)),"")</f>
        <v/>
      </c>
      <c r="G1155" s="204"/>
      <c r="H1155" s="204"/>
    </row>
    <row r="1156" spans="2:8" ht="15" customHeight="1" x14ac:dyDescent="0.2">
      <c r="B1156" s="30"/>
      <c r="C1156" s="24"/>
      <c r="D1156" s="24"/>
      <c r="E1156" s="24"/>
      <c r="F1156" s="24" t="str">
        <f t="array" ref="F1156">IFERROR(INDEX(COA!$C$5:$C$59,MATCH(JURNAL!E1156,COA!$B$5:$B$59,0)),"")</f>
        <v/>
      </c>
      <c r="G1156" s="204"/>
      <c r="H1156" s="204"/>
    </row>
    <row r="1157" spans="2:8" ht="15" customHeight="1" x14ac:dyDescent="0.2">
      <c r="B1157" s="30"/>
      <c r="C1157" s="24"/>
      <c r="D1157" s="24"/>
      <c r="E1157" s="24"/>
      <c r="F1157" s="24" t="str">
        <f t="array" ref="F1157">IFERROR(INDEX(COA!$C$5:$C$59,MATCH(JURNAL!E1157,COA!$B$5:$B$59,0)),"")</f>
        <v/>
      </c>
      <c r="G1157" s="204"/>
      <c r="H1157" s="204"/>
    </row>
    <row r="1158" spans="2:8" ht="15" customHeight="1" x14ac:dyDescent="0.2">
      <c r="B1158" s="30"/>
      <c r="C1158" s="24"/>
      <c r="D1158" s="24"/>
      <c r="E1158" s="24"/>
      <c r="F1158" s="24" t="str">
        <f t="array" ref="F1158">IFERROR(INDEX(COA!$C$5:$C$59,MATCH(JURNAL!E1158,COA!$B$5:$B$59,0)),"")</f>
        <v/>
      </c>
      <c r="G1158" s="204"/>
      <c r="H1158" s="204"/>
    </row>
    <row r="1159" spans="2:8" ht="15" customHeight="1" x14ac:dyDescent="0.2">
      <c r="B1159" s="30"/>
      <c r="C1159" s="24"/>
      <c r="D1159" s="24"/>
      <c r="E1159" s="24"/>
      <c r="F1159" s="24" t="str">
        <f t="array" ref="F1159">IFERROR(INDEX(COA!$C$5:$C$59,MATCH(JURNAL!E1159,COA!$B$5:$B$59,0)),"")</f>
        <v/>
      </c>
      <c r="G1159" s="204"/>
      <c r="H1159" s="204"/>
    </row>
    <row r="1160" spans="2:8" ht="15" customHeight="1" x14ac:dyDescent="0.2">
      <c r="B1160" s="30"/>
      <c r="C1160" s="24"/>
      <c r="D1160" s="24"/>
      <c r="E1160" s="24"/>
      <c r="F1160" s="24" t="str">
        <f t="array" ref="F1160">IFERROR(INDEX(COA!$C$5:$C$59,MATCH(JURNAL!E1160,COA!$B$5:$B$59,0)),"")</f>
        <v/>
      </c>
      <c r="G1160" s="204"/>
      <c r="H1160" s="204"/>
    </row>
    <row r="1161" spans="2:8" ht="15" customHeight="1" x14ac:dyDescent="0.2">
      <c r="B1161" s="30"/>
      <c r="C1161" s="24"/>
      <c r="D1161" s="24"/>
      <c r="E1161" s="24"/>
      <c r="F1161" s="24" t="str">
        <f t="array" ref="F1161">IFERROR(INDEX(COA!$C$5:$C$59,MATCH(JURNAL!E1161,COA!$B$5:$B$59,0)),"")</f>
        <v/>
      </c>
      <c r="G1161" s="204"/>
      <c r="H1161" s="204"/>
    </row>
    <row r="1162" spans="2:8" ht="15" customHeight="1" x14ac:dyDescent="0.2">
      <c r="B1162" s="30"/>
      <c r="C1162" s="24"/>
      <c r="D1162" s="24"/>
      <c r="E1162" s="24"/>
      <c r="F1162" s="24" t="str">
        <f t="array" ref="F1162">IFERROR(INDEX(COA!$C$5:$C$59,MATCH(JURNAL!E1162,COA!$B$5:$B$59,0)),"")</f>
        <v/>
      </c>
      <c r="G1162" s="204"/>
      <c r="H1162" s="204"/>
    </row>
    <row r="1163" spans="2:8" ht="15" customHeight="1" x14ac:dyDescent="0.2">
      <c r="B1163" s="30"/>
      <c r="C1163" s="24"/>
      <c r="D1163" s="24"/>
      <c r="E1163" s="24"/>
      <c r="F1163" s="24" t="str">
        <f t="array" ref="F1163">IFERROR(INDEX(COA!$C$5:$C$59,MATCH(JURNAL!E1163,COA!$B$5:$B$59,0)),"")</f>
        <v/>
      </c>
      <c r="G1163" s="204"/>
      <c r="H1163" s="204"/>
    </row>
    <row r="1164" spans="2:8" ht="15" customHeight="1" x14ac:dyDescent="0.2">
      <c r="B1164" s="30"/>
      <c r="C1164" s="24"/>
      <c r="D1164" s="24"/>
      <c r="E1164" s="24"/>
      <c r="F1164" s="24" t="str">
        <f t="array" ref="F1164">IFERROR(INDEX(COA!$C$5:$C$59,MATCH(JURNAL!E1164,COA!$B$5:$B$59,0)),"")</f>
        <v/>
      </c>
      <c r="G1164" s="204"/>
      <c r="H1164" s="204"/>
    </row>
    <row r="1165" spans="2:8" ht="15" customHeight="1" x14ac:dyDescent="0.2">
      <c r="B1165" s="30"/>
      <c r="C1165" s="24"/>
      <c r="D1165" s="24"/>
      <c r="E1165" s="24"/>
      <c r="F1165" s="24" t="str">
        <f t="array" ref="F1165">IFERROR(INDEX(COA!$C$5:$C$59,MATCH(JURNAL!E1165,COA!$B$5:$B$59,0)),"")</f>
        <v/>
      </c>
      <c r="G1165" s="204"/>
      <c r="H1165" s="204"/>
    </row>
    <row r="1166" spans="2:8" ht="15" customHeight="1" x14ac:dyDescent="0.2">
      <c r="B1166" s="30"/>
      <c r="C1166" s="24"/>
      <c r="D1166" s="24"/>
      <c r="E1166" s="24"/>
      <c r="F1166" s="24" t="str">
        <f t="array" ref="F1166">IFERROR(INDEX(COA!$C$5:$C$59,MATCH(JURNAL!E1166,COA!$B$5:$B$59,0)),"")</f>
        <v/>
      </c>
      <c r="G1166" s="204"/>
      <c r="H1166" s="204"/>
    </row>
    <row r="1167" spans="2:8" ht="15" customHeight="1" x14ac:dyDescent="0.2">
      <c r="B1167" s="30"/>
      <c r="C1167" s="24"/>
      <c r="D1167" s="24"/>
      <c r="E1167" s="24"/>
      <c r="F1167" s="24" t="str">
        <f t="array" ref="F1167">IFERROR(INDEX(COA!$C$5:$C$59,MATCH(JURNAL!E1167,COA!$B$5:$B$59,0)),"")</f>
        <v/>
      </c>
      <c r="G1167" s="204"/>
      <c r="H1167" s="204"/>
    </row>
    <row r="1168" spans="2:8" ht="15" customHeight="1" x14ac:dyDescent="0.2">
      <c r="B1168" s="30"/>
      <c r="C1168" s="24"/>
      <c r="D1168" s="24"/>
      <c r="E1168" s="24"/>
      <c r="F1168" s="24" t="str">
        <f t="array" ref="F1168">IFERROR(INDEX(COA!$C$5:$C$59,MATCH(JURNAL!E1168,COA!$B$5:$B$59,0)),"")</f>
        <v/>
      </c>
      <c r="G1168" s="204"/>
      <c r="H1168" s="204"/>
    </row>
    <row r="1169" spans="2:8" ht="15" customHeight="1" x14ac:dyDescent="0.2">
      <c r="B1169" s="30"/>
      <c r="C1169" s="24"/>
      <c r="D1169" s="24"/>
      <c r="E1169" s="24"/>
      <c r="F1169" s="24" t="str">
        <f t="array" ref="F1169">IFERROR(INDEX(COA!$C$5:$C$59,MATCH(JURNAL!E1169,COA!$B$5:$B$59,0)),"")</f>
        <v/>
      </c>
      <c r="G1169" s="204"/>
      <c r="H1169" s="204"/>
    </row>
    <row r="1170" spans="2:8" ht="15" customHeight="1" x14ac:dyDescent="0.2">
      <c r="B1170" s="30"/>
      <c r="C1170" s="24"/>
      <c r="D1170" s="24"/>
      <c r="E1170" s="24"/>
      <c r="F1170" s="24" t="str">
        <f t="array" ref="F1170">IFERROR(INDEX(COA!$C$5:$C$59,MATCH(JURNAL!E1170,COA!$B$5:$B$59,0)),"")</f>
        <v/>
      </c>
      <c r="G1170" s="204"/>
      <c r="H1170" s="204"/>
    </row>
    <row r="1171" spans="2:8" ht="15" customHeight="1" x14ac:dyDescent="0.2">
      <c r="B1171" s="30"/>
      <c r="C1171" s="24"/>
      <c r="D1171" s="24"/>
      <c r="E1171" s="24"/>
      <c r="F1171" s="24" t="str">
        <f t="array" ref="F1171">IFERROR(INDEX(COA!$C$5:$C$59,MATCH(JURNAL!E1171,COA!$B$5:$B$59,0)),"")</f>
        <v/>
      </c>
      <c r="G1171" s="204"/>
      <c r="H1171" s="204"/>
    </row>
    <row r="1172" spans="2:8" ht="15" customHeight="1" x14ac:dyDescent="0.2">
      <c r="B1172" s="30"/>
      <c r="C1172" s="24"/>
      <c r="D1172" s="24"/>
      <c r="E1172" s="24"/>
      <c r="F1172" s="24" t="str">
        <f t="array" ref="F1172">IFERROR(INDEX(COA!$C$5:$C$59,MATCH(JURNAL!E1172,COA!$B$5:$B$59,0)),"")</f>
        <v/>
      </c>
      <c r="G1172" s="204"/>
      <c r="H1172" s="204"/>
    </row>
    <row r="1173" spans="2:8" ht="15" customHeight="1" x14ac:dyDescent="0.2">
      <c r="B1173" s="30"/>
      <c r="C1173" s="24"/>
      <c r="D1173" s="24"/>
      <c r="E1173" s="24"/>
      <c r="F1173" s="24" t="str">
        <f t="array" ref="F1173">IFERROR(INDEX(COA!$C$5:$C$59,MATCH(JURNAL!E1173,COA!$B$5:$B$59,0)),"")</f>
        <v/>
      </c>
      <c r="G1173" s="204"/>
      <c r="H1173" s="204"/>
    </row>
    <row r="1174" spans="2:8" ht="15" customHeight="1" x14ac:dyDescent="0.2">
      <c r="B1174" s="30"/>
      <c r="C1174" s="24"/>
      <c r="D1174" s="24"/>
      <c r="E1174" s="24"/>
      <c r="F1174" s="24" t="str">
        <f t="array" ref="F1174">IFERROR(INDEX(COA!$C$5:$C$59,MATCH(JURNAL!E1174,COA!$B$5:$B$59,0)),"")</f>
        <v/>
      </c>
      <c r="G1174" s="204"/>
      <c r="H1174" s="204"/>
    </row>
    <row r="1175" spans="2:8" ht="15" customHeight="1" x14ac:dyDescent="0.2">
      <c r="B1175" s="30"/>
      <c r="C1175" s="24"/>
      <c r="D1175" s="24"/>
      <c r="E1175" s="24"/>
      <c r="F1175" s="24" t="str">
        <f t="array" ref="F1175">IFERROR(INDEX(COA!$C$5:$C$59,MATCH(JURNAL!E1175,COA!$B$5:$B$59,0)),"")</f>
        <v/>
      </c>
      <c r="G1175" s="204"/>
      <c r="H1175" s="204"/>
    </row>
    <row r="1176" spans="2:8" ht="15" customHeight="1" x14ac:dyDescent="0.2">
      <c r="B1176" s="30"/>
      <c r="C1176" s="24"/>
      <c r="D1176" s="24"/>
      <c r="E1176" s="24"/>
      <c r="F1176" s="24" t="str">
        <f t="array" ref="F1176">IFERROR(INDEX(COA!$C$5:$C$59,MATCH(JURNAL!E1176,COA!$B$5:$B$59,0)),"")</f>
        <v/>
      </c>
      <c r="G1176" s="204"/>
      <c r="H1176" s="204"/>
    </row>
    <row r="1177" spans="2:8" ht="15" customHeight="1" x14ac:dyDescent="0.2">
      <c r="B1177" s="30"/>
      <c r="C1177" s="24"/>
      <c r="D1177" s="24"/>
      <c r="E1177" s="24"/>
      <c r="F1177" s="24" t="str">
        <f t="array" ref="F1177">IFERROR(INDEX(COA!$C$5:$C$59,MATCH(JURNAL!E1177,COA!$B$5:$B$59,0)),"")</f>
        <v/>
      </c>
      <c r="G1177" s="204"/>
      <c r="H1177" s="204"/>
    </row>
    <row r="1178" spans="2:8" ht="15" customHeight="1" x14ac:dyDescent="0.2">
      <c r="B1178" s="30"/>
      <c r="C1178" s="24"/>
      <c r="D1178" s="24"/>
      <c r="E1178" s="24"/>
      <c r="F1178" s="24" t="str">
        <f t="array" ref="F1178">IFERROR(INDEX(COA!$C$5:$C$59,MATCH(JURNAL!E1178,COA!$B$5:$B$59,0)),"")</f>
        <v/>
      </c>
      <c r="G1178" s="204"/>
      <c r="H1178" s="204"/>
    </row>
    <row r="1179" spans="2:8" ht="15" customHeight="1" x14ac:dyDescent="0.2">
      <c r="B1179" s="30"/>
      <c r="C1179" s="24"/>
      <c r="D1179" s="24"/>
      <c r="E1179" s="24"/>
      <c r="F1179" s="24" t="str">
        <f t="array" ref="F1179">IFERROR(INDEX(COA!$C$5:$C$59,MATCH(JURNAL!E1179,COA!$B$5:$B$59,0)),"")</f>
        <v/>
      </c>
      <c r="G1179" s="204"/>
      <c r="H1179" s="204"/>
    </row>
    <row r="1180" spans="2:8" ht="15" customHeight="1" x14ac:dyDescent="0.2">
      <c r="B1180" s="30"/>
      <c r="C1180" s="24"/>
      <c r="D1180" s="24"/>
      <c r="E1180" s="24"/>
      <c r="F1180" s="24" t="str">
        <f t="array" ref="F1180">IFERROR(INDEX(COA!$C$5:$C$59,MATCH(JURNAL!E1180,COA!$B$5:$B$59,0)),"")</f>
        <v/>
      </c>
      <c r="G1180" s="204"/>
      <c r="H1180" s="204"/>
    </row>
    <row r="1181" spans="2:8" ht="15" customHeight="1" x14ac:dyDescent="0.2">
      <c r="B1181" s="30"/>
      <c r="C1181" s="24"/>
      <c r="D1181" s="24"/>
      <c r="E1181" s="24"/>
      <c r="F1181" s="24" t="str">
        <f t="array" ref="F1181">IFERROR(INDEX(COA!$C$5:$C$59,MATCH(JURNAL!E1181,COA!$B$5:$B$59,0)),"")</f>
        <v/>
      </c>
      <c r="G1181" s="204"/>
      <c r="H1181" s="204"/>
    </row>
    <row r="1182" spans="2:8" ht="15" customHeight="1" x14ac:dyDescent="0.2">
      <c r="B1182" s="30"/>
      <c r="C1182" s="24"/>
      <c r="D1182" s="24"/>
      <c r="E1182" s="24"/>
      <c r="F1182" s="24" t="str">
        <f t="array" ref="F1182">IFERROR(INDEX(COA!$C$5:$C$59,MATCH(JURNAL!E1182,COA!$B$5:$B$59,0)),"")</f>
        <v/>
      </c>
      <c r="G1182" s="204"/>
      <c r="H1182" s="204"/>
    </row>
    <row r="1183" spans="2:8" ht="15" customHeight="1" x14ac:dyDescent="0.2">
      <c r="B1183" s="30"/>
      <c r="C1183" s="24"/>
      <c r="D1183" s="24"/>
      <c r="E1183" s="24"/>
      <c r="F1183" s="24" t="str">
        <f t="array" ref="F1183">IFERROR(INDEX(COA!$C$5:$C$59,MATCH(JURNAL!E1183,COA!$B$5:$B$59,0)),"")</f>
        <v/>
      </c>
      <c r="G1183" s="204"/>
      <c r="H1183" s="204"/>
    </row>
    <row r="1184" spans="2:8" ht="15" customHeight="1" x14ac:dyDescent="0.2">
      <c r="B1184" s="30"/>
      <c r="C1184" s="24"/>
      <c r="D1184" s="24"/>
      <c r="E1184" s="24"/>
      <c r="F1184" s="24" t="str">
        <f t="array" ref="F1184">IFERROR(INDEX(COA!$C$5:$C$59,MATCH(JURNAL!E1184,COA!$B$5:$B$59,0)),"")</f>
        <v/>
      </c>
      <c r="G1184" s="204"/>
      <c r="H1184" s="204"/>
    </row>
    <row r="1185" spans="2:8" ht="15" customHeight="1" x14ac:dyDescent="0.2">
      <c r="B1185" s="30"/>
      <c r="C1185" s="24"/>
      <c r="D1185" s="24"/>
      <c r="E1185" s="24"/>
      <c r="F1185" s="24" t="str">
        <f t="array" ref="F1185">IFERROR(INDEX(COA!$C$5:$C$59,MATCH(JURNAL!E1185,COA!$B$5:$B$59,0)),"")</f>
        <v/>
      </c>
      <c r="G1185" s="204"/>
      <c r="H1185" s="204"/>
    </row>
    <row r="1186" spans="2:8" ht="15" customHeight="1" x14ac:dyDescent="0.2">
      <c r="B1186" s="30"/>
      <c r="C1186" s="24"/>
      <c r="D1186" s="24"/>
      <c r="E1186" s="24"/>
      <c r="F1186" s="24" t="str">
        <f t="array" ref="F1186">IFERROR(INDEX(COA!$C$5:$C$59,MATCH(JURNAL!E1186,COA!$B$5:$B$59,0)),"")</f>
        <v/>
      </c>
      <c r="G1186" s="204"/>
      <c r="H1186" s="204"/>
    </row>
    <row r="1187" spans="2:8" ht="15" customHeight="1" x14ac:dyDescent="0.2">
      <c r="B1187" s="30"/>
      <c r="C1187" s="24"/>
      <c r="D1187" s="24"/>
      <c r="E1187" s="24"/>
      <c r="F1187" s="24" t="str">
        <f t="array" ref="F1187">IFERROR(INDEX(COA!$C$5:$C$59,MATCH(JURNAL!E1187,COA!$B$5:$B$59,0)),"")</f>
        <v/>
      </c>
      <c r="G1187" s="204"/>
      <c r="H1187" s="204"/>
    </row>
    <row r="1188" spans="2:8" ht="15" customHeight="1" x14ac:dyDescent="0.2">
      <c r="B1188" s="30"/>
      <c r="C1188" s="24"/>
      <c r="D1188" s="24"/>
      <c r="E1188" s="24"/>
      <c r="F1188" s="24" t="str">
        <f t="array" ref="F1188">IFERROR(INDEX(COA!$C$5:$C$59,MATCH(JURNAL!E1188,COA!$B$5:$B$59,0)),"")</f>
        <v/>
      </c>
      <c r="G1188" s="204"/>
      <c r="H1188" s="204"/>
    </row>
    <row r="1189" spans="2:8" ht="15" customHeight="1" x14ac:dyDescent="0.2">
      <c r="B1189" s="30"/>
      <c r="C1189" s="24"/>
      <c r="D1189" s="24"/>
      <c r="E1189" s="24"/>
      <c r="F1189" s="24" t="str">
        <f t="array" ref="F1189">IFERROR(INDEX(COA!$C$5:$C$59,MATCH(JURNAL!E1189,COA!$B$5:$B$59,0)),"")</f>
        <v/>
      </c>
      <c r="G1189" s="204"/>
      <c r="H1189" s="204"/>
    </row>
    <row r="1190" spans="2:8" ht="15" customHeight="1" x14ac:dyDescent="0.2">
      <c r="B1190" s="30"/>
      <c r="C1190" s="24"/>
      <c r="D1190" s="24"/>
      <c r="E1190" s="24"/>
      <c r="F1190" s="24" t="str">
        <f t="array" ref="F1190">IFERROR(INDEX(COA!$C$5:$C$59,MATCH(JURNAL!E1190,COA!$B$5:$B$59,0)),"")</f>
        <v/>
      </c>
      <c r="G1190" s="204"/>
      <c r="H1190" s="204"/>
    </row>
    <row r="1191" spans="2:8" ht="15" customHeight="1" x14ac:dyDescent="0.2">
      <c r="B1191" s="30"/>
      <c r="C1191" s="24"/>
      <c r="D1191" s="24"/>
      <c r="E1191" s="24"/>
      <c r="F1191" s="24" t="str">
        <f t="array" ref="F1191">IFERROR(INDEX(COA!$C$5:$C$59,MATCH(JURNAL!E1191,COA!$B$5:$B$59,0)),"")</f>
        <v/>
      </c>
      <c r="G1191" s="204"/>
      <c r="H1191" s="204"/>
    </row>
    <row r="1192" spans="2:8" ht="15" customHeight="1" x14ac:dyDescent="0.2">
      <c r="B1192" s="30"/>
      <c r="C1192" s="24"/>
      <c r="D1192" s="24"/>
      <c r="E1192" s="24"/>
      <c r="F1192" s="24" t="str">
        <f t="array" ref="F1192">IFERROR(INDEX(COA!$C$5:$C$59,MATCH(JURNAL!E1192,COA!$B$5:$B$59,0)),"")</f>
        <v/>
      </c>
      <c r="G1192" s="204"/>
      <c r="H1192" s="204"/>
    </row>
    <row r="1193" spans="2:8" ht="15" customHeight="1" x14ac:dyDescent="0.2">
      <c r="B1193" s="30"/>
      <c r="C1193" s="24"/>
      <c r="D1193" s="24"/>
      <c r="E1193" s="24"/>
      <c r="F1193" s="24" t="str">
        <f t="array" ref="F1193">IFERROR(INDEX(COA!$C$5:$C$59,MATCH(JURNAL!E1193,COA!$B$5:$B$59,0)),"")</f>
        <v/>
      </c>
      <c r="G1193" s="204"/>
      <c r="H1193" s="204"/>
    </row>
    <row r="1194" spans="2:8" ht="15" customHeight="1" x14ac:dyDescent="0.2">
      <c r="B1194" s="30"/>
      <c r="C1194" s="24"/>
      <c r="D1194" s="24"/>
      <c r="E1194" s="24"/>
      <c r="F1194" s="24" t="str">
        <f t="array" ref="F1194">IFERROR(INDEX(COA!$C$5:$C$59,MATCH(JURNAL!E1194,COA!$B$5:$B$59,0)),"")</f>
        <v/>
      </c>
      <c r="G1194" s="204"/>
      <c r="H1194" s="204"/>
    </row>
    <row r="1195" spans="2:8" ht="15" customHeight="1" x14ac:dyDescent="0.2">
      <c r="B1195" s="30"/>
      <c r="C1195" s="24"/>
      <c r="D1195" s="24"/>
      <c r="E1195" s="24"/>
      <c r="F1195" s="24" t="str">
        <f t="array" ref="F1195">IFERROR(INDEX(COA!$C$5:$C$59,MATCH(JURNAL!E1195,COA!$B$5:$B$59,0)),"")</f>
        <v/>
      </c>
      <c r="G1195" s="204"/>
      <c r="H1195" s="204"/>
    </row>
    <row r="1196" spans="2:8" ht="15" customHeight="1" x14ac:dyDescent="0.2">
      <c r="B1196" s="30"/>
      <c r="C1196" s="24"/>
      <c r="D1196" s="24"/>
      <c r="E1196" s="24"/>
      <c r="F1196" s="24" t="str">
        <f t="array" ref="F1196">IFERROR(INDEX(COA!$C$5:$C$59,MATCH(JURNAL!E1196,COA!$B$5:$B$59,0)),"")</f>
        <v/>
      </c>
      <c r="G1196" s="204"/>
      <c r="H1196" s="204"/>
    </row>
    <row r="1197" spans="2:8" ht="15" customHeight="1" x14ac:dyDescent="0.2">
      <c r="B1197" s="30"/>
      <c r="C1197" s="24"/>
      <c r="D1197" s="24"/>
      <c r="E1197" s="24"/>
      <c r="F1197" s="24" t="str">
        <f t="array" ref="F1197">IFERROR(INDEX(COA!$C$5:$C$59,MATCH(JURNAL!E1197,COA!$B$5:$B$59,0)),"")</f>
        <v/>
      </c>
      <c r="G1197" s="204"/>
      <c r="H1197" s="204"/>
    </row>
    <row r="1198" spans="2:8" ht="15" customHeight="1" x14ac:dyDescent="0.2">
      <c r="B1198" s="30"/>
      <c r="C1198" s="24"/>
      <c r="D1198" s="24"/>
      <c r="E1198" s="24"/>
      <c r="F1198" s="24" t="str">
        <f t="array" ref="F1198">IFERROR(INDEX(COA!$C$5:$C$59,MATCH(JURNAL!E1198,COA!$B$5:$B$59,0)),"")</f>
        <v/>
      </c>
      <c r="G1198" s="204"/>
      <c r="H1198" s="204"/>
    </row>
    <row r="1199" spans="2:8" ht="15" customHeight="1" x14ac:dyDescent="0.2">
      <c r="B1199" s="30"/>
      <c r="C1199" s="24"/>
      <c r="D1199" s="24"/>
      <c r="E1199" s="24"/>
      <c r="F1199" s="24" t="str">
        <f t="array" ref="F1199">IFERROR(INDEX(COA!$C$5:$C$59,MATCH(JURNAL!E1199,COA!$B$5:$B$59,0)),"")</f>
        <v/>
      </c>
      <c r="G1199" s="204"/>
      <c r="H1199" s="204"/>
    </row>
    <row r="1200" spans="2:8" ht="15" customHeight="1" x14ac:dyDescent="0.2">
      <c r="B1200" s="30"/>
      <c r="C1200" s="24"/>
      <c r="D1200" s="24"/>
      <c r="E1200" s="24"/>
      <c r="F1200" s="24" t="str">
        <f t="array" ref="F1200">IFERROR(INDEX(COA!$C$5:$C$59,MATCH(JURNAL!E1200,COA!$B$5:$B$59,0)),"")</f>
        <v/>
      </c>
      <c r="G1200" s="204"/>
      <c r="H1200" s="204"/>
    </row>
    <row r="1201" spans="2:8" ht="15" customHeight="1" x14ac:dyDescent="0.2">
      <c r="B1201" s="30"/>
      <c r="C1201" s="24"/>
      <c r="D1201" s="24"/>
      <c r="E1201" s="24"/>
      <c r="F1201" s="24" t="str">
        <f t="array" ref="F1201">IFERROR(INDEX(COA!$C$5:$C$59,MATCH(JURNAL!E1201,COA!$B$5:$B$59,0)),"")</f>
        <v/>
      </c>
      <c r="G1201" s="204"/>
      <c r="H1201" s="204"/>
    </row>
    <row r="1202" spans="2:8" ht="15" customHeight="1" x14ac:dyDescent="0.2">
      <c r="B1202" s="30"/>
      <c r="C1202" s="24"/>
      <c r="D1202" s="24"/>
      <c r="E1202" s="24"/>
      <c r="F1202" s="24" t="str">
        <f t="array" ref="F1202">IFERROR(INDEX(COA!$C$5:$C$59,MATCH(JURNAL!E1202,COA!$B$5:$B$59,0)),"")</f>
        <v/>
      </c>
      <c r="G1202" s="204"/>
      <c r="H1202" s="204"/>
    </row>
    <row r="1203" spans="2:8" ht="15" customHeight="1" x14ac:dyDescent="0.2">
      <c r="B1203" s="30"/>
      <c r="C1203" s="24"/>
      <c r="D1203" s="24"/>
      <c r="E1203" s="24"/>
      <c r="F1203" s="24" t="str">
        <f t="array" ref="F1203">IFERROR(INDEX(COA!$C$5:$C$59,MATCH(JURNAL!E1203,COA!$B$5:$B$59,0)),"")</f>
        <v/>
      </c>
      <c r="G1203" s="204"/>
      <c r="H1203" s="204"/>
    </row>
    <row r="1204" spans="2:8" ht="15" customHeight="1" x14ac:dyDescent="0.2">
      <c r="B1204" s="30"/>
      <c r="C1204" s="24"/>
      <c r="D1204" s="24"/>
      <c r="E1204" s="24"/>
      <c r="F1204" s="24" t="str">
        <f t="array" ref="F1204">IFERROR(INDEX(COA!$C$5:$C$59,MATCH(JURNAL!E1204,COA!$B$5:$B$59,0)),"")</f>
        <v/>
      </c>
      <c r="G1204" s="204"/>
      <c r="H1204" s="204"/>
    </row>
    <row r="1205" spans="2:8" ht="15" customHeight="1" x14ac:dyDescent="0.2">
      <c r="B1205" s="30"/>
      <c r="C1205" s="24"/>
      <c r="D1205" s="24"/>
      <c r="E1205" s="24"/>
      <c r="F1205" s="24" t="str">
        <f t="array" ref="F1205">IFERROR(INDEX(COA!$C$5:$C$59,MATCH(JURNAL!E1205,COA!$B$5:$B$59,0)),"")</f>
        <v/>
      </c>
      <c r="G1205" s="204"/>
      <c r="H1205" s="204"/>
    </row>
    <row r="1206" spans="2:8" ht="15" customHeight="1" x14ac:dyDescent="0.2">
      <c r="B1206" s="30"/>
      <c r="C1206" s="24"/>
      <c r="D1206" s="24"/>
      <c r="E1206" s="24"/>
      <c r="F1206" s="24" t="str">
        <f t="array" ref="F1206">IFERROR(INDEX(COA!$C$5:$C$59,MATCH(JURNAL!E1206,COA!$B$5:$B$59,0)),"")</f>
        <v/>
      </c>
      <c r="G1206" s="204"/>
      <c r="H1206" s="204"/>
    </row>
    <row r="1207" spans="2:8" ht="15" customHeight="1" x14ac:dyDescent="0.2">
      <c r="B1207" s="30"/>
      <c r="C1207" s="24"/>
      <c r="D1207" s="24"/>
      <c r="E1207" s="24"/>
      <c r="F1207" s="24" t="str">
        <f t="array" ref="F1207">IFERROR(INDEX(COA!$C$5:$C$59,MATCH(JURNAL!E1207,COA!$B$5:$B$59,0)),"")</f>
        <v/>
      </c>
      <c r="G1207" s="204"/>
      <c r="H1207" s="204"/>
    </row>
    <row r="1208" spans="2:8" ht="15" customHeight="1" x14ac:dyDescent="0.2">
      <c r="B1208" s="30"/>
      <c r="C1208" s="24"/>
      <c r="D1208" s="24"/>
      <c r="E1208" s="24"/>
      <c r="F1208" s="24" t="str">
        <f t="array" ref="F1208">IFERROR(INDEX(COA!$C$5:$C$59,MATCH(JURNAL!E1208,COA!$B$5:$B$59,0)),"")</f>
        <v/>
      </c>
      <c r="G1208" s="204"/>
      <c r="H1208" s="204"/>
    </row>
    <row r="1209" spans="2:8" ht="15" customHeight="1" x14ac:dyDescent="0.2">
      <c r="B1209" s="30"/>
      <c r="C1209" s="24"/>
      <c r="D1209" s="24"/>
      <c r="E1209" s="24"/>
      <c r="F1209" s="24" t="str">
        <f t="array" ref="F1209">IFERROR(INDEX(COA!$C$5:$C$59,MATCH(JURNAL!E1209,COA!$B$5:$B$59,0)),"")</f>
        <v/>
      </c>
      <c r="G1209" s="204"/>
      <c r="H1209" s="204"/>
    </row>
    <row r="1210" spans="2:8" ht="15" customHeight="1" x14ac:dyDescent="0.2">
      <c r="B1210" s="30"/>
      <c r="C1210" s="24"/>
      <c r="D1210" s="24"/>
      <c r="E1210" s="24"/>
      <c r="F1210" s="24" t="str">
        <f t="array" ref="F1210">IFERROR(INDEX(COA!$C$5:$C$59,MATCH(JURNAL!E1210,COA!$B$5:$B$59,0)),"")</f>
        <v/>
      </c>
      <c r="G1210" s="204"/>
      <c r="H1210" s="204"/>
    </row>
    <row r="1211" spans="2:8" ht="15" customHeight="1" x14ac:dyDescent="0.2">
      <c r="B1211" s="30"/>
      <c r="C1211" s="24"/>
      <c r="D1211" s="24"/>
      <c r="E1211" s="24"/>
      <c r="F1211" s="24" t="str">
        <f t="array" ref="F1211">IFERROR(INDEX(COA!$C$5:$C$59,MATCH(JURNAL!E1211,COA!$B$5:$B$59,0)),"")</f>
        <v/>
      </c>
      <c r="G1211" s="204"/>
      <c r="H1211" s="204"/>
    </row>
    <row r="1212" spans="2:8" ht="15" customHeight="1" x14ac:dyDescent="0.2">
      <c r="B1212" s="30"/>
      <c r="C1212" s="24"/>
      <c r="D1212" s="24"/>
      <c r="E1212" s="24"/>
      <c r="F1212" s="24" t="str">
        <f t="array" ref="F1212">IFERROR(INDEX(COA!$C$5:$C$59,MATCH(JURNAL!E1212,COA!$B$5:$B$59,0)),"")</f>
        <v/>
      </c>
      <c r="G1212" s="204"/>
      <c r="H1212" s="204"/>
    </row>
    <row r="1213" spans="2:8" ht="15" customHeight="1" x14ac:dyDescent="0.2">
      <c r="B1213" s="30"/>
      <c r="C1213" s="24"/>
      <c r="D1213" s="24"/>
      <c r="E1213" s="24"/>
      <c r="F1213" s="24" t="str">
        <f t="array" ref="F1213">IFERROR(INDEX(COA!$C$5:$C$59,MATCH(JURNAL!E1213,COA!$B$5:$B$59,0)),"")</f>
        <v/>
      </c>
      <c r="G1213" s="204"/>
      <c r="H1213" s="204"/>
    </row>
    <row r="1214" spans="2:8" ht="15" customHeight="1" x14ac:dyDescent="0.2">
      <c r="B1214" s="30"/>
      <c r="C1214" s="24"/>
      <c r="D1214" s="24"/>
      <c r="E1214" s="24"/>
      <c r="F1214" s="24" t="str">
        <f t="array" ref="F1214">IFERROR(INDEX(COA!$C$5:$C$59,MATCH(JURNAL!E1214,COA!$B$5:$B$59,0)),"")</f>
        <v/>
      </c>
      <c r="G1214" s="204"/>
      <c r="H1214" s="204"/>
    </row>
    <row r="1215" spans="2:8" ht="15" customHeight="1" x14ac:dyDescent="0.2">
      <c r="B1215" s="30"/>
      <c r="C1215" s="24"/>
      <c r="D1215" s="24"/>
      <c r="E1215" s="24"/>
      <c r="F1215" s="24" t="str">
        <f t="array" ref="F1215">IFERROR(INDEX(COA!$C$5:$C$59,MATCH(JURNAL!E1215,COA!$B$5:$B$59,0)),"")</f>
        <v/>
      </c>
      <c r="G1215" s="204"/>
      <c r="H1215" s="204"/>
    </row>
    <row r="1216" spans="2:8" ht="15" customHeight="1" x14ac:dyDescent="0.2">
      <c r="B1216" s="30"/>
      <c r="C1216" s="24"/>
      <c r="D1216" s="24"/>
      <c r="E1216" s="24"/>
      <c r="F1216" s="24" t="str">
        <f t="array" ref="F1216">IFERROR(INDEX(COA!$C$5:$C$59,MATCH(JURNAL!E1216,COA!$B$5:$B$59,0)),"")</f>
        <v/>
      </c>
      <c r="G1216" s="204"/>
      <c r="H1216" s="204"/>
    </row>
    <row r="1217" spans="2:8" ht="15" customHeight="1" x14ac:dyDescent="0.2">
      <c r="B1217" s="30"/>
      <c r="C1217" s="24"/>
      <c r="D1217" s="24"/>
      <c r="E1217" s="24"/>
      <c r="F1217" s="24" t="str">
        <f t="array" ref="F1217">IFERROR(INDEX(COA!$C$5:$C$59,MATCH(JURNAL!E1217,COA!$B$5:$B$59,0)),"")</f>
        <v/>
      </c>
      <c r="G1217" s="204"/>
      <c r="H1217" s="204"/>
    </row>
    <row r="1218" spans="2:8" ht="15" customHeight="1" x14ac:dyDescent="0.2">
      <c r="B1218" s="30"/>
      <c r="C1218" s="24"/>
      <c r="D1218" s="24"/>
      <c r="E1218" s="24"/>
      <c r="F1218" s="24" t="str">
        <f t="array" ref="F1218">IFERROR(INDEX(COA!$C$5:$C$59,MATCH(JURNAL!E1218,COA!$B$5:$B$59,0)),"")</f>
        <v/>
      </c>
      <c r="G1218" s="204"/>
      <c r="H1218" s="204"/>
    </row>
    <row r="1219" spans="2:8" ht="15" customHeight="1" x14ac:dyDescent="0.2">
      <c r="B1219" s="30"/>
      <c r="C1219" s="24"/>
      <c r="D1219" s="24"/>
      <c r="E1219" s="24"/>
      <c r="F1219" s="24" t="str">
        <f t="array" ref="F1219">IFERROR(INDEX(COA!$C$5:$C$59,MATCH(JURNAL!E1219,COA!$B$5:$B$59,0)),"")</f>
        <v/>
      </c>
      <c r="G1219" s="204"/>
      <c r="H1219" s="204"/>
    </row>
    <row r="1220" spans="2:8" ht="15" customHeight="1" x14ac:dyDescent="0.2">
      <c r="B1220" s="30"/>
      <c r="C1220" s="24"/>
      <c r="D1220" s="24"/>
      <c r="E1220" s="24"/>
      <c r="F1220" s="24" t="str">
        <f t="array" ref="F1220">IFERROR(INDEX(COA!$C$5:$C$59,MATCH(JURNAL!E1220,COA!$B$5:$B$59,0)),"")</f>
        <v/>
      </c>
      <c r="G1220" s="204"/>
      <c r="H1220" s="204"/>
    </row>
    <row r="1221" spans="2:8" ht="15" customHeight="1" x14ac:dyDescent="0.2">
      <c r="B1221" s="30"/>
      <c r="C1221" s="24"/>
      <c r="D1221" s="24"/>
      <c r="E1221" s="24"/>
      <c r="F1221" s="24" t="str">
        <f t="array" ref="F1221">IFERROR(INDEX(COA!$C$5:$C$59,MATCH(JURNAL!E1221,COA!$B$5:$B$59,0)),"")</f>
        <v/>
      </c>
      <c r="G1221" s="204"/>
      <c r="H1221" s="204"/>
    </row>
    <row r="1222" spans="2:8" ht="15" customHeight="1" x14ac:dyDescent="0.2">
      <c r="B1222" s="30"/>
      <c r="C1222" s="24"/>
      <c r="D1222" s="24"/>
      <c r="E1222" s="24"/>
      <c r="F1222" s="24" t="str">
        <f t="array" ref="F1222">IFERROR(INDEX(COA!$C$5:$C$59,MATCH(JURNAL!E1222,COA!$B$5:$B$59,0)),"")</f>
        <v/>
      </c>
      <c r="G1222" s="204"/>
      <c r="H1222" s="204"/>
    </row>
    <row r="1223" spans="2:8" ht="15" customHeight="1" x14ac:dyDescent="0.2">
      <c r="B1223" s="30"/>
      <c r="C1223" s="24"/>
      <c r="D1223" s="24"/>
      <c r="E1223" s="24"/>
      <c r="F1223" s="24" t="str">
        <f t="array" ref="F1223">IFERROR(INDEX(COA!$C$5:$C$59,MATCH(JURNAL!E1223,COA!$B$5:$B$59,0)),"")</f>
        <v/>
      </c>
      <c r="G1223" s="204"/>
      <c r="H1223" s="204"/>
    </row>
    <row r="1224" spans="2:8" ht="15" customHeight="1" x14ac:dyDescent="0.2">
      <c r="B1224" s="30"/>
      <c r="C1224" s="24"/>
      <c r="D1224" s="24"/>
      <c r="E1224" s="24"/>
      <c r="F1224" s="24" t="str">
        <f t="array" ref="F1224">IFERROR(INDEX(COA!$C$5:$C$59,MATCH(JURNAL!E1224,COA!$B$5:$B$59,0)),"")</f>
        <v/>
      </c>
      <c r="G1224" s="204"/>
      <c r="H1224" s="204"/>
    </row>
    <row r="1225" spans="2:8" ht="15" customHeight="1" x14ac:dyDescent="0.2">
      <c r="B1225" s="30"/>
      <c r="C1225" s="24"/>
      <c r="D1225" s="24"/>
      <c r="E1225" s="24"/>
      <c r="F1225" s="24" t="str">
        <f t="array" ref="F1225">IFERROR(INDEX(COA!$C$5:$C$59,MATCH(JURNAL!E1225,COA!$B$5:$B$59,0)),"")</f>
        <v/>
      </c>
      <c r="G1225" s="204"/>
      <c r="H1225" s="204"/>
    </row>
    <row r="1226" spans="2:8" ht="15" customHeight="1" x14ac:dyDescent="0.2">
      <c r="B1226" s="30"/>
      <c r="C1226" s="24"/>
      <c r="D1226" s="24"/>
      <c r="E1226" s="24"/>
      <c r="F1226" s="24" t="str">
        <f t="array" ref="F1226">IFERROR(INDEX(COA!$C$5:$C$59,MATCH(JURNAL!E1226,COA!$B$5:$B$59,0)),"")</f>
        <v/>
      </c>
      <c r="G1226" s="204"/>
      <c r="H1226" s="204"/>
    </row>
    <row r="1227" spans="2:8" ht="15" customHeight="1" x14ac:dyDescent="0.2">
      <c r="B1227" s="30"/>
      <c r="C1227" s="24"/>
      <c r="D1227" s="24"/>
      <c r="E1227" s="24"/>
      <c r="F1227" s="24" t="str">
        <f t="array" ref="F1227">IFERROR(INDEX(COA!$C$5:$C$59,MATCH(JURNAL!E1227,COA!$B$5:$B$59,0)),"")</f>
        <v/>
      </c>
      <c r="G1227" s="204"/>
      <c r="H1227" s="204"/>
    </row>
    <row r="1228" spans="2:8" ht="15" customHeight="1" x14ac:dyDescent="0.2">
      <c r="B1228" s="30"/>
      <c r="C1228" s="24"/>
      <c r="D1228" s="24"/>
      <c r="E1228" s="24"/>
      <c r="F1228" s="24" t="str">
        <f t="array" ref="F1228">IFERROR(INDEX(COA!$C$5:$C$59,MATCH(JURNAL!E1228,COA!$B$5:$B$59,0)),"")</f>
        <v/>
      </c>
      <c r="G1228" s="204"/>
      <c r="H1228" s="204"/>
    </row>
    <row r="1229" spans="2:8" ht="15" customHeight="1" x14ac:dyDescent="0.2">
      <c r="B1229" s="30"/>
      <c r="C1229" s="24"/>
      <c r="D1229" s="24"/>
      <c r="E1229" s="24"/>
      <c r="F1229" s="24" t="str">
        <f t="array" ref="F1229">IFERROR(INDEX(COA!$C$5:$C$59,MATCH(JURNAL!E1229,COA!$B$5:$B$59,0)),"")</f>
        <v/>
      </c>
      <c r="G1229" s="204"/>
      <c r="H1229" s="204"/>
    </row>
    <row r="1230" spans="2:8" ht="15" customHeight="1" x14ac:dyDescent="0.2">
      <c r="B1230" s="30"/>
      <c r="C1230" s="24"/>
      <c r="D1230" s="24"/>
      <c r="E1230" s="24"/>
      <c r="F1230" s="24" t="str">
        <f t="array" ref="F1230">IFERROR(INDEX(COA!$C$5:$C$59,MATCH(JURNAL!E1230,COA!$B$5:$B$59,0)),"")</f>
        <v/>
      </c>
      <c r="G1230" s="204"/>
      <c r="H1230" s="204"/>
    </row>
    <row r="1231" spans="2:8" ht="15" customHeight="1" x14ac:dyDescent="0.2">
      <c r="B1231" s="30"/>
      <c r="C1231" s="24"/>
      <c r="D1231" s="24"/>
      <c r="E1231" s="24"/>
      <c r="F1231" s="24" t="str">
        <f t="array" ref="F1231">IFERROR(INDEX(COA!$C$5:$C$59,MATCH(JURNAL!E1231,COA!$B$5:$B$59,0)),"")</f>
        <v/>
      </c>
      <c r="G1231" s="204"/>
      <c r="H1231" s="204"/>
    </row>
    <row r="1232" spans="2:8" ht="15" customHeight="1" x14ac:dyDescent="0.2">
      <c r="B1232" s="30"/>
      <c r="C1232" s="24"/>
      <c r="D1232" s="24"/>
      <c r="E1232" s="24"/>
      <c r="F1232" s="24" t="str">
        <f t="array" ref="F1232">IFERROR(INDEX(COA!$C$5:$C$59,MATCH(JURNAL!E1232,COA!$B$5:$B$59,0)),"")</f>
        <v/>
      </c>
      <c r="G1232" s="204"/>
      <c r="H1232" s="204"/>
    </row>
    <row r="1233" spans="2:8" ht="15" customHeight="1" x14ac:dyDescent="0.2">
      <c r="B1233" s="30"/>
      <c r="C1233" s="24"/>
      <c r="D1233" s="24"/>
      <c r="E1233" s="24"/>
      <c r="F1233" s="24" t="str">
        <f t="array" ref="F1233">IFERROR(INDEX(COA!$C$5:$C$59,MATCH(JURNAL!E1233,COA!$B$5:$B$59,0)),"")</f>
        <v/>
      </c>
      <c r="G1233" s="204"/>
      <c r="H1233" s="204"/>
    </row>
    <row r="1234" spans="2:8" ht="15" customHeight="1" x14ac:dyDescent="0.2">
      <c r="B1234" s="30"/>
      <c r="C1234" s="24"/>
      <c r="D1234" s="24"/>
      <c r="E1234" s="24"/>
      <c r="F1234" s="24" t="str">
        <f t="array" ref="F1234">IFERROR(INDEX(COA!$C$5:$C$59,MATCH(JURNAL!E1234,COA!$B$5:$B$59,0)),"")</f>
        <v/>
      </c>
      <c r="G1234" s="204"/>
      <c r="H1234" s="204"/>
    </row>
    <row r="1235" spans="2:8" ht="15" customHeight="1" x14ac:dyDescent="0.2">
      <c r="B1235" s="30"/>
      <c r="C1235" s="24"/>
      <c r="D1235" s="24"/>
      <c r="E1235" s="24"/>
      <c r="F1235" s="24" t="str">
        <f t="array" ref="F1235">IFERROR(INDEX(COA!$C$5:$C$59,MATCH(JURNAL!E1235,COA!$B$5:$B$59,0)),"")</f>
        <v/>
      </c>
      <c r="G1235" s="204"/>
      <c r="H1235" s="204"/>
    </row>
    <row r="1236" spans="2:8" ht="15" customHeight="1" x14ac:dyDescent="0.2">
      <c r="B1236" s="30"/>
      <c r="C1236" s="24"/>
      <c r="D1236" s="24"/>
      <c r="E1236" s="24"/>
      <c r="F1236" s="24" t="str">
        <f t="array" ref="F1236">IFERROR(INDEX(COA!$C$5:$C$59,MATCH(JURNAL!E1236,COA!$B$5:$B$59,0)),"")</f>
        <v/>
      </c>
      <c r="G1236" s="204"/>
      <c r="H1236" s="204"/>
    </row>
    <row r="1237" spans="2:8" ht="15" customHeight="1" x14ac:dyDescent="0.2">
      <c r="B1237" s="30"/>
      <c r="C1237" s="24"/>
      <c r="D1237" s="24"/>
      <c r="E1237" s="24"/>
      <c r="F1237" s="24" t="str">
        <f t="array" ref="F1237">IFERROR(INDEX(COA!$C$5:$C$59,MATCH(JURNAL!E1237,COA!$B$5:$B$59,0)),"")</f>
        <v/>
      </c>
      <c r="G1237" s="204"/>
      <c r="H1237" s="204"/>
    </row>
    <row r="1238" spans="2:8" ht="15" customHeight="1" x14ac:dyDescent="0.2">
      <c r="B1238" s="30"/>
      <c r="C1238" s="24"/>
      <c r="D1238" s="24"/>
      <c r="E1238" s="24"/>
      <c r="F1238" s="24" t="str">
        <f t="array" ref="F1238">IFERROR(INDEX(COA!$C$5:$C$59,MATCH(JURNAL!E1238,COA!$B$5:$B$59,0)),"")</f>
        <v/>
      </c>
      <c r="G1238" s="204"/>
      <c r="H1238" s="204"/>
    </row>
    <row r="1239" spans="2:8" ht="15" customHeight="1" x14ac:dyDescent="0.2">
      <c r="B1239" s="30"/>
      <c r="C1239" s="24"/>
      <c r="D1239" s="24"/>
      <c r="E1239" s="24"/>
      <c r="F1239" s="24" t="str">
        <f t="array" ref="F1239">IFERROR(INDEX(COA!$C$5:$C$59,MATCH(JURNAL!E1239,COA!$B$5:$B$59,0)),"")</f>
        <v/>
      </c>
      <c r="G1239" s="204"/>
      <c r="H1239" s="204"/>
    </row>
    <row r="1240" spans="2:8" ht="15" customHeight="1" x14ac:dyDescent="0.2">
      <c r="B1240" s="30"/>
      <c r="C1240" s="24"/>
      <c r="D1240" s="24"/>
      <c r="E1240" s="24"/>
      <c r="F1240" s="24" t="str">
        <f t="array" ref="F1240">IFERROR(INDEX(COA!$C$5:$C$59,MATCH(JURNAL!E1240,COA!$B$5:$B$59,0)),"")</f>
        <v/>
      </c>
      <c r="G1240" s="204"/>
      <c r="H1240" s="204"/>
    </row>
    <row r="1241" spans="2:8" ht="15" customHeight="1" x14ac:dyDescent="0.2">
      <c r="B1241" s="30"/>
      <c r="C1241" s="24"/>
      <c r="D1241" s="24"/>
      <c r="E1241" s="24"/>
      <c r="F1241" s="24" t="str">
        <f t="array" ref="F1241">IFERROR(INDEX(COA!$C$5:$C$59,MATCH(JURNAL!E1241,COA!$B$5:$B$59,0)),"")</f>
        <v/>
      </c>
      <c r="G1241" s="204"/>
      <c r="H1241" s="204"/>
    </row>
    <row r="1242" spans="2:8" ht="15" customHeight="1" x14ac:dyDescent="0.2">
      <c r="B1242" s="30"/>
      <c r="C1242" s="24"/>
      <c r="D1242" s="24"/>
      <c r="E1242" s="24"/>
      <c r="F1242" s="24" t="str">
        <f t="array" ref="F1242">IFERROR(INDEX(COA!$C$5:$C$59,MATCH(JURNAL!E1242,COA!$B$5:$B$59,0)),"")</f>
        <v/>
      </c>
      <c r="G1242" s="204"/>
      <c r="H1242" s="204"/>
    </row>
    <row r="1243" spans="2:8" ht="15" customHeight="1" x14ac:dyDescent="0.2">
      <c r="B1243" s="30"/>
      <c r="C1243" s="24"/>
      <c r="D1243" s="24"/>
      <c r="E1243" s="24"/>
      <c r="F1243" s="24" t="str">
        <f t="array" ref="F1243">IFERROR(INDEX(COA!$C$5:$C$59,MATCH(JURNAL!E1243,COA!$B$5:$B$59,0)),"")</f>
        <v/>
      </c>
      <c r="G1243" s="204"/>
      <c r="H1243" s="204"/>
    </row>
    <row r="1244" spans="2:8" ht="15" customHeight="1" x14ac:dyDescent="0.2">
      <c r="B1244" s="30"/>
      <c r="C1244" s="24"/>
      <c r="D1244" s="24"/>
      <c r="E1244" s="24"/>
      <c r="F1244" s="24" t="str">
        <f t="array" ref="F1244">IFERROR(INDEX(COA!$C$5:$C$59,MATCH(JURNAL!E1244,COA!$B$5:$B$59,0)),"")</f>
        <v/>
      </c>
      <c r="G1244" s="204"/>
      <c r="H1244" s="204"/>
    </row>
    <row r="1245" spans="2:8" ht="15" customHeight="1" x14ac:dyDescent="0.2">
      <c r="B1245" s="30"/>
      <c r="C1245" s="24"/>
      <c r="D1245" s="24"/>
      <c r="E1245" s="24"/>
      <c r="F1245" s="24" t="str">
        <f t="array" ref="F1245">IFERROR(INDEX(COA!$C$5:$C$59,MATCH(JURNAL!E1245,COA!$B$5:$B$59,0)),"")</f>
        <v/>
      </c>
      <c r="G1245" s="204"/>
      <c r="H1245" s="204"/>
    </row>
    <row r="1246" spans="2:8" ht="15" customHeight="1" x14ac:dyDescent="0.2">
      <c r="B1246" s="30"/>
      <c r="C1246" s="24"/>
      <c r="D1246" s="24"/>
      <c r="E1246" s="24"/>
      <c r="F1246" s="24" t="str">
        <f t="array" ref="F1246">IFERROR(INDEX(COA!$C$5:$C$59,MATCH(JURNAL!E1246,COA!$B$5:$B$59,0)),"")</f>
        <v/>
      </c>
      <c r="G1246" s="204"/>
      <c r="H1246" s="204"/>
    </row>
    <row r="1247" spans="2:8" ht="15" customHeight="1" x14ac:dyDescent="0.2">
      <c r="B1247" s="30"/>
      <c r="C1247" s="24"/>
      <c r="D1247" s="24"/>
      <c r="E1247" s="24"/>
      <c r="F1247" s="24" t="str">
        <f t="array" ref="F1247">IFERROR(INDEX(COA!$C$5:$C$59,MATCH(JURNAL!E1247,COA!$B$5:$B$59,0)),"")</f>
        <v/>
      </c>
      <c r="G1247" s="204"/>
      <c r="H1247" s="204"/>
    </row>
    <row r="1248" spans="2:8" ht="15" customHeight="1" x14ac:dyDescent="0.2">
      <c r="B1248" s="30"/>
      <c r="C1248" s="24"/>
      <c r="D1248" s="24"/>
      <c r="E1248" s="24"/>
      <c r="F1248" s="24" t="str">
        <f t="array" ref="F1248">IFERROR(INDEX(COA!$C$5:$C$59,MATCH(JURNAL!E1248,COA!$B$5:$B$59,0)),"")</f>
        <v/>
      </c>
      <c r="G1248" s="204"/>
      <c r="H1248" s="204"/>
    </row>
    <row r="1249" spans="2:8" ht="15" customHeight="1" x14ac:dyDescent="0.2">
      <c r="B1249" s="30"/>
      <c r="C1249" s="24"/>
      <c r="D1249" s="24"/>
      <c r="E1249" s="24"/>
      <c r="F1249" s="24" t="str">
        <f t="array" ref="F1249">IFERROR(INDEX(COA!$C$5:$C$59,MATCH(JURNAL!E1249,COA!$B$5:$B$59,0)),"")</f>
        <v/>
      </c>
      <c r="G1249" s="204"/>
      <c r="H1249" s="204"/>
    </row>
    <row r="1250" spans="2:8" ht="15" customHeight="1" x14ac:dyDescent="0.2">
      <c r="B1250" s="30"/>
      <c r="C1250" s="24"/>
      <c r="D1250" s="24"/>
      <c r="E1250" s="24"/>
      <c r="F1250" s="24" t="str">
        <f t="array" ref="F1250">IFERROR(INDEX(COA!$C$5:$C$59,MATCH(JURNAL!E1250,COA!$B$5:$B$59,0)),"")</f>
        <v/>
      </c>
      <c r="G1250" s="204"/>
      <c r="H1250" s="204"/>
    </row>
    <row r="1251" spans="2:8" ht="15" customHeight="1" x14ac:dyDescent="0.2">
      <c r="B1251" s="30"/>
      <c r="C1251" s="24"/>
      <c r="D1251" s="24"/>
      <c r="E1251" s="24"/>
      <c r="F1251" s="24" t="str">
        <f t="array" ref="F1251">IFERROR(INDEX(COA!$C$5:$C$59,MATCH(JURNAL!E1251,COA!$B$5:$B$59,0)),"")</f>
        <v/>
      </c>
      <c r="G1251" s="204"/>
      <c r="H1251" s="204"/>
    </row>
    <row r="1252" spans="2:8" ht="15" customHeight="1" x14ac:dyDescent="0.2">
      <c r="B1252" s="30"/>
      <c r="C1252" s="24"/>
      <c r="D1252" s="24"/>
      <c r="E1252" s="24"/>
      <c r="F1252" s="24" t="str">
        <f t="array" ref="F1252">IFERROR(INDEX(COA!$C$5:$C$59,MATCH(JURNAL!E1252,COA!$B$5:$B$59,0)),"")</f>
        <v/>
      </c>
      <c r="G1252" s="204"/>
      <c r="H1252" s="204"/>
    </row>
    <row r="1253" spans="2:8" ht="15" customHeight="1" x14ac:dyDescent="0.2">
      <c r="B1253" s="30"/>
      <c r="C1253" s="24"/>
      <c r="D1253" s="24"/>
      <c r="E1253" s="24"/>
      <c r="F1253" s="24" t="str">
        <f t="array" ref="F1253">IFERROR(INDEX(COA!$C$5:$C$59,MATCH(JURNAL!E1253,COA!$B$5:$B$59,0)),"")</f>
        <v/>
      </c>
      <c r="G1253" s="204"/>
      <c r="H1253" s="204"/>
    </row>
    <row r="1254" spans="2:8" ht="15" customHeight="1" x14ac:dyDescent="0.2">
      <c r="B1254" s="30"/>
      <c r="C1254" s="24"/>
      <c r="D1254" s="24"/>
      <c r="E1254" s="24"/>
      <c r="F1254" s="24" t="str">
        <f t="array" ref="F1254">IFERROR(INDEX(COA!$C$5:$C$59,MATCH(JURNAL!E1254,COA!$B$5:$B$59,0)),"")</f>
        <v/>
      </c>
      <c r="G1254" s="204"/>
      <c r="H1254" s="204"/>
    </row>
    <row r="1255" spans="2:8" ht="15" customHeight="1" x14ac:dyDescent="0.2">
      <c r="B1255" s="30"/>
      <c r="C1255" s="24"/>
      <c r="D1255" s="24"/>
      <c r="E1255" s="24"/>
      <c r="F1255" s="24" t="str">
        <f t="array" ref="F1255">IFERROR(INDEX(COA!$C$5:$C$59,MATCH(JURNAL!E1255,COA!$B$5:$B$59,0)),"")</f>
        <v/>
      </c>
      <c r="G1255" s="204"/>
      <c r="H1255" s="204"/>
    </row>
    <row r="1256" spans="2:8" ht="15" customHeight="1" x14ac:dyDescent="0.2">
      <c r="B1256" s="30"/>
      <c r="C1256" s="24"/>
      <c r="D1256" s="24"/>
      <c r="E1256" s="24"/>
      <c r="F1256" s="24" t="str">
        <f t="array" ref="F1256">IFERROR(INDEX(COA!$C$5:$C$59,MATCH(JURNAL!E1256,COA!$B$5:$B$59,0)),"")</f>
        <v/>
      </c>
      <c r="G1256" s="204"/>
      <c r="H1256" s="204"/>
    </row>
    <row r="1257" spans="2:8" ht="15" customHeight="1" x14ac:dyDescent="0.2">
      <c r="B1257" s="30"/>
      <c r="C1257" s="24"/>
      <c r="D1257" s="24"/>
      <c r="E1257" s="24"/>
      <c r="F1257" s="24" t="str">
        <f t="array" ref="F1257">IFERROR(INDEX(COA!$C$5:$C$59,MATCH(JURNAL!E1257,COA!$B$5:$B$59,0)),"")</f>
        <v/>
      </c>
      <c r="G1257" s="204"/>
      <c r="H1257" s="204"/>
    </row>
    <row r="1258" spans="2:8" ht="15" customHeight="1" x14ac:dyDescent="0.2">
      <c r="B1258" s="30"/>
      <c r="C1258" s="24"/>
      <c r="D1258" s="24"/>
      <c r="E1258" s="24"/>
      <c r="F1258" s="24" t="str">
        <f t="array" ref="F1258">IFERROR(INDEX(COA!$C$5:$C$59,MATCH(JURNAL!E1258,COA!$B$5:$B$59,0)),"")</f>
        <v/>
      </c>
      <c r="G1258" s="204"/>
      <c r="H1258" s="204"/>
    </row>
    <row r="1259" spans="2:8" ht="15" customHeight="1" x14ac:dyDescent="0.2">
      <c r="B1259" s="30"/>
      <c r="C1259" s="24"/>
      <c r="D1259" s="24"/>
      <c r="E1259" s="24"/>
      <c r="F1259" s="24" t="str">
        <f t="array" ref="F1259">IFERROR(INDEX(COA!$C$5:$C$59,MATCH(JURNAL!E1259,COA!$B$5:$B$59,0)),"")</f>
        <v/>
      </c>
      <c r="G1259" s="204"/>
      <c r="H1259" s="204"/>
    </row>
    <row r="1260" spans="2:8" ht="15" customHeight="1" x14ac:dyDescent="0.2">
      <c r="B1260" s="30"/>
      <c r="C1260" s="24"/>
      <c r="D1260" s="24"/>
      <c r="E1260" s="24"/>
      <c r="F1260" s="24" t="str">
        <f t="array" ref="F1260">IFERROR(INDEX(COA!$C$5:$C$59,MATCH(JURNAL!E1260,COA!$B$5:$B$59,0)),"")</f>
        <v/>
      </c>
      <c r="G1260" s="204"/>
      <c r="H1260" s="204"/>
    </row>
    <row r="1261" spans="2:8" ht="15" customHeight="1" x14ac:dyDescent="0.2">
      <c r="B1261" s="30"/>
      <c r="C1261" s="24"/>
      <c r="D1261" s="24"/>
      <c r="E1261" s="24"/>
      <c r="F1261" s="24" t="str">
        <f t="array" ref="F1261">IFERROR(INDEX(COA!$C$5:$C$59,MATCH(JURNAL!E1261,COA!$B$5:$B$59,0)),"")</f>
        <v/>
      </c>
      <c r="G1261" s="204"/>
      <c r="H1261" s="204"/>
    </row>
    <row r="1262" spans="2:8" ht="15" customHeight="1" x14ac:dyDescent="0.2">
      <c r="B1262" s="30"/>
      <c r="C1262" s="24"/>
      <c r="D1262" s="24"/>
      <c r="E1262" s="24"/>
      <c r="F1262" s="24" t="str">
        <f t="array" ref="F1262">IFERROR(INDEX(COA!$C$5:$C$59,MATCH(JURNAL!E1262,COA!$B$5:$B$59,0)),"")</f>
        <v/>
      </c>
      <c r="G1262" s="204"/>
      <c r="H1262" s="204"/>
    </row>
    <row r="1263" spans="2:8" ht="15" customHeight="1" x14ac:dyDescent="0.2">
      <c r="B1263" s="30"/>
      <c r="C1263" s="24"/>
      <c r="D1263" s="24"/>
      <c r="E1263" s="24"/>
      <c r="F1263" s="24" t="str">
        <f t="array" ref="F1263">IFERROR(INDEX(COA!$C$5:$C$59,MATCH(JURNAL!E1263,COA!$B$5:$B$59,0)),"")</f>
        <v/>
      </c>
      <c r="G1263" s="204"/>
      <c r="H1263" s="204"/>
    </row>
    <row r="1264" spans="2:8" ht="15" customHeight="1" x14ac:dyDescent="0.2">
      <c r="B1264" s="30"/>
      <c r="C1264" s="24"/>
      <c r="D1264" s="24"/>
      <c r="E1264" s="24"/>
      <c r="F1264" s="24" t="str">
        <f t="array" ref="F1264">IFERROR(INDEX(COA!$C$5:$C$59,MATCH(JURNAL!E1264,COA!$B$5:$B$59,0)),"")</f>
        <v/>
      </c>
      <c r="G1264" s="204"/>
      <c r="H1264" s="204"/>
    </row>
    <row r="1265" spans="2:8" ht="15" customHeight="1" x14ac:dyDescent="0.2">
      <c r="B1265" s="30"/>
      <c r="C1265" s="24"/>
      <c r="D1265" s="24"/>
      <c r="E1265" s="24"/>
      <c r="F1265" s="24" t="str">
        <f t="array" ref="F1265">IFERROR(INDEX(COA!$C$5:$C$59,MATCH(JURNAL!E1265,COA!$B$5:$B$59,0)),"")</f>
        <v/>
      </c>
      <c r="G1265" s="204"/>
      <c r="H1265" s="204"/>
    </row>
    <row r="1266" spans="2:8" ht="15" customHeight="1" x14ac:dyDescent="0.2">
      <c r="B1266" s="30"/>
      <c r="C1266" s="24"/>
      <c r="D1266" s="24"/>
      <c r="E1266" s="24"/>
      <c r="F1266" s="24" t="str">
        <f t="array" ref="F1266">IFERROR(INDEX(COA!$C$5:$C$59,MATCH(JURNAL!E1266,COA!$B$5:$B$59,0)),"")</f>
        <v/>
      </c>
      <c r="G1266" s="204"/>
      <c r="H1266" s="204"/>
    </row>
    <row r="1267" spans="2:8" ht="15" customHeight="1" x14ac:dyDescent="0.2">
      <c r="B1267" s="30"/>
      <c r="C1267" s="24"/>
      <c r="D1267" s="24"/>
      <c r="E1267" s="24"/>
      <c r="F1267" s="24" t="str">
        <f t="array" ref="F1267">IFERROR(INDEX(COA!$C$5:$C$59,MATCH(JURNAL!E1267,COA!$B$5:$B$59,0)),"")</f>
        <v/>
      </c>
      <c r="G1267" s="204"/>
      <c r="H1267" s="204"/>
    </row>
    <row r="1268" spans="2:8" ht="15" customHeight="1" x14ac:dyDescent="0.2">
      <c r="B1268" s="30"/>
      <c r="C1268" s="24"/>
      <c r="D1268" s="24"/>
      <c r="E1268" s="24"/>
      <c r="F1268" s="24" t="str">
        <f t="array" ref="F1268">IFERROR(INDEX(COA!$C$5:$C$59,MATCH(JURNAL!E1268,COA!$B$5:$B$59,0)),"")</f>
        <v/>
      </c>
      <c r="G1268" s="204"/>
      <c r="H1268" s="204"/>
    </row>
    <row r="1269" spans="2:8" ht="15" customHeight="1" x14ac:dyDescent="0.2">
      <c r="B1269" s="30"/>
      <c r="C1269" s="24"/>
      <c r="D1269" s="24"/>
      <c r="E1269" s="24"/>
      <c r="F1269" s="24" t="str">
        <f t="array" ref="F1269">IFERROR(INDEX(COA!$C$5:$C$59,MATCH(JURNAL!E1269,COA!$B$5:$B$59,0)),"")</f>
        <v/>
      </c>
      <c r="G1269" s="204"/>
      <c r="H1269" s="204"/>
    </row>
    <row r="1270" spans="2:8" ht="15" customHeight="1" x14ac:dyDescent="0.2">
      <c r="B1270" s="30"/>
      <c r="C1270" s="24"/>
      <c r="D1270" s="24"/>
      <c r="E1270" s="24"/>
      <c r="F1270" s="24" t="str">
        <f t="array" ref="F1270">IFERROR(INDEX(COA!$C$5:$C$59,MATCH(JURNAL!E1270,COA!$B$5:$B$59,0)),"")</f>
        <v/>
      </c>
      <c r="G1270" s="204"/>
      <c r="H1270" s="204"/>
    </row>
    <row r="1271" spans="2:8" ht="15" customHeight="1" x14ac:dyDescent="0.2">
      <c r="B1271" s="30"/>
      <c r="C1271" s="24"/>
      <c r="D1271" s="24"/>
      <c r="E1271" s="24"/>
      <c r="F1271" s="24" t="str">
        <f t="array" ref="F1271">IFERROR(INDEX(COA!$C$5:$C$59,MATCH(JURNAL!E1271,COA!$B$5:$B$59,0)),"")</f>
        <v/>
      </c>
      <c r="G1271" s="204"/>
      <c r="H1271" s="204"/>
    </row>
    <row r="1272" spans="2:8" ht="15" customHeight="1" x14ac:dyDescent="0.2">
      <c r="B1272" s="30"/>
      <c r="C1272" s="24"/>
      <c r="D1272" s="24"/>
      <c r="E1272" s="24"/>
      <c r="F1272" s="24" t="str">
        <f t="array" ref="F1272">IFERROR(INDEX(COA!$C$5:$C$59,MATCH(JURNAL!E1272,COA!$B$5:$B$59,0)),"")</f>
        <v/>
      </c>
      <c r="G1272" s="204"/>
      <c r="H1272" s="204"/>
    </row>
    <row r="1273" spans="2:8" ht="15" customHeight="1" x14ac:dyDescent="0.2">
      <c r="B1273" s="30"/>
      <c r="C1273" s="24"/>
      <c r="D1273" s="24"/>
      <c r="E1273" s="24"/>
      <c r="F1273" s="24" t="str">
        <f t="array" ref="F1273">IFERROR(INDEX(COA!$C$5:$C$59,MATCH(JURNAL!E1273,COA!$B$5:$B$59,0)),"")</f>
        <v/>
      </c>
      <c r="G1273" s="204"/>
      <c r="H1273" s="204"/>
    </row>
    <row r="1274" spans="2:8" ht="15" customHeight="1" x14ac:dyDescent="0.2">
      <c r="B1274" s="30"/>
      <c r="C1274" s="24"/>
      <c r="D1274" s="24"/>
      <c r="E1274" s="24"/>
      <c r="F1274" s="24" t="str">
        <f t="array" ref="F1274">IFERROR(INDEX(COA!$C$5:$C$59,MATCH(JURNAL!E1274,COA!$B$5:$B$59,0)),"")</f>
        <v/>
      </c>
      <c r="G1274" s="204"/>
      <c r="H1274" s="204"/>
    </row>
    <row r="1275" spans="2:8" ht="15" customHeight="1" x14ac:dyDescent="0.2">
      <c r="B1275" s="30"/>
      <c r="C1275" s="24"/>
      <c r="D1275" s="24"/>
      <c r="E1275" s="24"/>
      <c r="F1275" s="24" t="str">
        <f t="array" ref="F1275">IFERROR(INDEX(COA!$C$5:$C$59,MATCH(JURNAL!E1275,COA!$B$5:$B$59,0)),"")</f>
        <v/>
      </c>
      <c r="G1275" s="204"/>
      <c r="H1275" s="204"/>
    </row>
    <row r="1276" spans="2:8" ht="15" customHeight="1" x14ac:dyDescent="0.2">
      <c r="B1276" s="30"/>
      <c r="C1276" s="24"/>
      <c r="D1276" s="24"/>
      <c r="E1276" s="24"/>
      <c r="F1276" s="24" t="str">
        <f t="array" ref="F1276">IFERROR(INDEX(COA!$C$5:$C$59,MATCH(JURNAL!E1276,COA!$B$5:$B$59,0)),"")</f>
        <v/>
      </c>
      <c r="G1276" s="204"/>
      <c r="H1276" s="204"/>
    </row>
    <row r="1277" spans="2:8" ht="15" customHeight="1" x14ac:dyDescent="0.2">
      <c r="B1277" s="30"/>
      <c r="C1277" s="24"/>
      <c r="D1277" s="24"/>
      <c r="E1277" s="24"/>
      <c r="F1277" s="24" t="str">
        <f t="array" ref="F1277">IFERROR(INDEX(COA!$C$5:$C$59,MATCH(JURNAL!E1277,COA!$B$5:$B$59,0)),"")</f>
        <v/>
      </c>
      <c r="G1277" s="204"/>
      <c r="H1277" s="204"/>
    </row>
  </sheetData>
  <mergeCells count="1">
    <mergeCell ref="B2:H2"/>
  </mergeCells>
  <phoneticPr fontId="25" type="noConversion"/>
  <dataValidations count="1">
    <dataValidation type="list" allowBlank="1" showErrorMessage="1" sqref="E7:E1277" xr:uid="{00000000-0002-0000-0300-000000000000}">
      <formula1>KODEAKUN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000"/>
  <sheetViews>
    <sheetView topLeftCell="F1" workbookViewId="0">
      <selection activeCell="B3" sqref="B3:G3"/>
    </sheetView>
  </sheetViews>
  <sheetFormatPr baseColWidth="10" defaultColWidth="12.6640625" defaultRowHeight="15" customHeight="1" x14ac:dyDescent="0.15"/>
  <cols>
    <col min="1" max="1" width="12" customWidth="1"/>
    <col min="2" max="2" width="12.83203125" customWidth="1"/>
    <col min="3" max="3" width="8.6640625" customWidth="1"/>
    <col min="4" max="4" width="55.83203125" customWidth="1"/>
    <col min="5" max="5" width="19.6640625" customWidth="1"/>
    <col min="6" max="6" width="18.1640625" customWidth="1"/>
    <col min="7" max="7" width="17.33203125" customWidth="1"/>
    <col min="8" max="8" width="5.6640625" customWidth="1"/>
    <col min="9" max="9" width="18.1640625" customWidth="1"/>
    <col min="10" max="10" width="8.6640625" customWidth="1"/>
    <col min="11" max="11" width="21.1640625" customWidth="1"/>
    <col min="12" max="12" width="18.1640625" customWidth="1"/>
    <col min="13" max="13" width="19.33203125" customWidth="1"/>
    <col min="14" max="26" width="14.33203125" customWidth="1"/>
  </cols>
  <sheetData>
    <row r="2" spans="1:10" ht="16" x14ac:dyDescent="0.2">
      <c r="B2" s="227" t="s">
        <v>288</v>
      </c>
      <c r="C2" s="224"/>
      <c r="D2" s="224"/>
      <c r="E2" s="224"/>
      <c r="F2" s="224"/>
      <c r="G2" s="224"/>
      <c r="I2" s="35" t="s">
        <v>50</v>
      </c>
      <c r="J2" s="24">
        <v>1104</v>
      </c>
    </row>
    <row r="3" spans="1:10" ht="16" x14ac:dyDescent="0.2">
      <c r="B3" s="227" t="s">
        <v>51</v>
      </c>
      <c r="C3" s="224"/>
      <c r="D3" s="224"/>
      <c r="E3" s="224"/>
      <c r="F3" s="224"/>
      <c r="G3" s="224"/>
      <c r="H3" s="7" t="str">
        <f t="array" ref="H3">INDEX(Type,MATCH(J2,KODEAKUN,0))</f>
        <v>Piutang</v>
      </c>
    </row>
    <row r="4" spans="1:10" ht="16" x14ac:dyDescent="0.2">
      <c r="B4" s="223" t="s">
        <v>52</v>
      </c>
      <c r="C4" s="224"/>
      <c r="D4" s="224"/>
      <c r="E4" s="224"/>
      <c r="F4" s="224"/>
      <c r="G4" s="224"/>
      <c r="H4" s="7" t="str">
        <f t="array" ref="H4">INDEX(SaldoNormal,MATCH(H3,Type,0))</f>
        <v>Debet</v>
      </c>
    </row>
    <row r="5" spans="1:10" ht="6.75" customHeight="1" x14ac:dyDescent="0.2">
      <c r="B5" s="36"/>
      <c r="C5" s="36"/>
      <c r="D5" s="36"/>
      <c r="E5" s="36"/>
      <c r="F5" s="36"/>
      <c r="H5" s="7"/>
    </row>
    <row r="6" spans="1:10" ht="16" x14ac:dyDescent="0.2">
      <c r="B6" s="228" t="s">
        <v>53</v>
      </c>
      <c r="C6" s="229"/>
      <c r="D6" s="230">
        <f>IF(J2="","PILIHAKUN",J2)</f>
        <v>1104</v>
      </c>
      <c r="E6" s="229"/>
      <c r="F6" s="37" t="s">
        <v>54</v>
      </c>
      <c r="G6" s="28">
        <f>IF(H4="Debet",H6-H7,H7-H6)</f>
        <v>0</v>
      </c>
      <c r="H6" s="31"/>
    </row>
    <row r="7" spans="1:10" ht="16" x14ac:dyDescent="0.2">
      <c r="B7" s="228" t="s">
        <v>55</v>
      </c>
      <c r="C7" s="229"/>
      <c r="D7" s="231" t="str">
        <f t="array" ref="D7">INDEX(Nama_Akun,MATCH(J2,KODEAKUN,0))</f>
        <v>Piutang</v>
      </c>
      <c r="E7" s="229"/>
      <c r="F7" s="37" t="s">
        <v>56</v>
      </c>
      <c r="G7" s="28">
        <f>IF($H$4="Debet",G6+(SUM(E11:E90)-SUM(F11:F90)),G6+(SUM(F11:F90)-SUM(E11:E90)))</f>
        <v>0</v>
      </c>
      <c r="H7" s="31">
        <f t="array" ref="H7">INDEX(COA_KREDIT,MATCH(J2,KODEAKUN,0))</f>
        <v>0</v>
      </c>
    </row>
    <row r="8" spans="1:10" ht="16" x14ac:dyDescent="0.2">
      <c r="B8" s="36"/>
      <c r="C8" s="36"/>
      <c r="D8" s="36"/>
      <c r="E8" s="36"/>
      <c r="F8" s="36"/>
    </row>
    <row r="9" spans="1:10" ht="16" x14ac:dyDescent="0.15">
      <c r="B9" s="225" t="s">
        <v>44</v>
      </c>
      <c r="C9" s="225" t="s">
        <v>57</v>
      </c>
      <c r="D9" s="225" t="s">
        <v>46</v>
      </c>
      <c r="E9" s="225" t="s">
        <v>5</v>
      </c>
      <c r="F9" s="225" t="s">
        <v>6</v>
      </c>
      <c r="G9" s="225" t="s">
        <v>58</v>
      </c>
      <c r="I9" s="38" t="s">
        <v>59</v>
      </c>
    </row>
    <row r="10" spans="1:10" x14ac:dyDescent="0.2">
      <c r="B10" s="226"/>
      <c r="C10" s="226"/>
      <c r="D10" s="226"/>
      <c r="E10" s="226"/>
      <c r="F10" s="226"/>
      <c r="G10" s="226"/>
      <c r="H10" s="7">
        <f>IF(B11="",0,1)</f>
        <v>0</v>
      </c>
    </row>
    <row r="11" spans="1:10" x14ac:dyDescent="0.2">
      <c r="A11" s="7">
        <v>1</v>
      </c>
      <c r="B11" s="30" t="str">
        <f t="array" ref="B11">IFERROR(INDEX(JU_Tanggal,MATCH(A11&amp;$J$2,JU_BB,0)),"")</f>
        <v/>
      </c>
      <c r="C11" s="24" t="str">
        <f t="array" ref="C11">IFERROR(INDEX(JU_REF,MATCH(A11&amp;$J$2,JU_BB,0)),"")</f>
        <v/>
      </c>
      <c r="D11" s="24" t="str">
        <f t="array" ref="D11">IFERROR(INDEX(JU_Keterangan,MATCH(A11&amp;$J$2,JU_BB,0)),"")</f>
        <v/>
      </c>
      <c r="E11" s="25" t="str">
        <f t="array" ref="E11">IFERROR(INDEX(JU_Debet,MATCH(A11&amp;$J$2,JU_BB,0)),"")</f>
        <v/>
      </c>
      <c r="F11" s="25" t="str">
        <f t="array" ref="F11">IFERROR(INDEX(JU_Kredit,MATCH(A11&amp;$J$2,JU_BB,0)),"")</f>
        <v/>
      </c>
      <c r="G11" s="25" t="str">
        <f>IFERROR(IF($H$4="Debet",G6+E11-F11,G6+F11-E11),"")</f>
        <v/>
      </c>
      <c r="H11" s="7">
        <f t="shared" ref="H11:H91" si="0">IF(B11="",0,1)</f>
        <v>0</v>
      </c>
    </row>
    <row r="12" spans="1:10" x14ac:dyDescent="0.2">
      <c r="A12" s="7">
        <v>2</v>
      </c>
      <c r="B12" s="30" t="str">
        <f t="array" ref="B12">IFERROR(INDEX(JU_Tanggal,MATCH(A12&amp;$J$2,JU_BB,0)),"")</f>
        <v/>
      </c>
      <c r="C12" s="24" t="str">
        <f t="array" ref="C12">IFERROR(INDEX(JU_REF,MATCH(A12&amp;$J$2,JU_BB,0)),"")</f>
        <v/>
      </c>
      <c r="D12" s="24" t="str">
        <f t="array" ref="D12">IFERROR(INDEX(JU_Keterangan,MATCH(A12&amp;$J$2,JU_BB,0)),"")</f>
        <v/>
      </c>
      <c r="E12" s="25" t="str">
        <f t="array" ref="E12">IFERROR(INDEX(JU_Debet,MATCH(A12&amp;$J$2,JU_BB,0)),"")</f>
        <v/>
      </c>
      <c r="F12" s="25" t="str">
        <f t="array" ref="F12">IFERROR(INDEX(JU_Kredit,MATCH(A12&amp;$J$2,JU_BB,0)),"")</f>
        <v/>
      </c>
      <c r="G12" s="25" t="str">
        <f t="shared" ref="G12:G73" si="1">IFERROR(IF($H$4="Debet",G11+E12-F12,G11+F12-E12),"")</f>
        <v/>
      </c>
      <c r="H12" s="7">
        <f t="shared" si="0"/>
        <v>0</v>
      </c>
      <c r="I12" s="7" t="s">
        <v>60</v>
      </c>
    </row>
    <row r="13" spans="1:10" x14ac:dyDescent="0.2">
      <c r="A13" s="7">
        <v>3</v>
      </c>
      <c r="B13" s="30" t="str">
        <f t="array" ref="B13">IFERROR(INDEX(JU_Tanggal,MATCH(A13&amp;$J$2,JU_BB,0)),"")</f>
        <v/>
      </c>
      <c r="C13" s="24" t="str">
        <f t="array" ref="C13">IFERROR(INDEX(JU_REF,MATCH(A13&amp;$J$2,JU_BB,0)),"")</f>
        <v/>
      </c>
      <c r="D13" s="24" t="str">
        <f t="array" ref="D13">IFERROR(INDEX(JU_Keterangan,MATCH(A13&amp;$J$2,JU_BB,0)),"")</f>
        <v/>
      </c>
      <c r="E13" s="25" t="str">
        <f t="array" ref="E13">IFERROR(INDEX(JU_Debet,MATCH(A13&amp;$J$2,JU_BB,0)),"")</f>
        <v/>
      </c>
      <c r="F13" s="25" t="str">
        <f t="array" ref="F13">IFERROR(INDEX(JU_Kredit,MATCH(A13&amp;$J$2,JU_BB,0)),"")</f>
        <v/>
      </c>
      <c r="G13" s="25" t="str">
        <f t="shared" si="1"/>
        <v/>
      </c>
      <c r="H13" s="7">
        <f t="shared" si="0"/>
        <v>0</v>
      </c>
      <c r="I13" s="7" t="s">
        <v>60</v>
      </c>
    </row>
    <row r="14" spans="1:10" x14ac:dyDescent="0.2">
      <c r="A14" s="7">
        <v>4</v>
      </c>
      <c r="B14" s="30" t="str">
        <f t="array" ref="B14">IFERROR(INDEX(JU_Tanggal,MATCH(A14&amp;$J$2,JU_BB,0)),"")</f>
        <v/>
      </c>
      <c r="C14" s="24" t="str">
        <f t="array" ref="C14">IFERROR(INDEX(JU_REF,MATCH(A14&amp;$J$2,JU_BB,0)),"")</f>
        <v/>
      </c>
      <c r="D14" s="24" t="str">
        <f t="array" ref="D14">IFERROR(INDEX(JU_Keterangan,MATCH(A14&amp;$J$2,JU_BB,0)),"")</f>
        <v/>
      </c>
      <c r="E14" s="25" t="str">
        <f t="array" ref="E14">IFERROR(INDEX(JU_Debet,MATCH(A14&amp;$J$2,JU_BB,0)),"")</f>
        <v/>
      </c>
      <c r="F14" s="25" t="str">
        <f t="array" ref="F14">IFERROR(INDEX(JU_Kredit,MATCH(A14&amp;$J$2,JU_BB,0)),"")</f>
        <v/>
      </c>
      <c r="G14" s="25" t="str">
        <f t="shared" si="1"/>
        <v/>
      </c>
      <c r="H14" s="7">
        <f t="shared" si="0"/>
        <v>0</v>
      </c>
      <c r="I14" s="7" t="s">
        <v>60</v>
      </c>
    </row>
    <row r="15" spans="1:10" x14ac:dyDescent="0.2">
      <c r="A15" s="7">
        <v>5</v>
      </c>
      <c r="B15" s="30" t="str">
        <f t="array" ref="B15">IFERROR(INDEX(JU_Tanggal,MATCH(A15&amp;$J$2,JU_BB,0)),"")</f>
        <v/>
      </c>
      <c r="C15" s="24" t="str">
        <f t="array" ref="C15">IFERROR(INDEX(JU_REF,MATCH(A15&amp;$J$2,JU_BB,0)),"")</f>
        <v/>
      </c>
      <c r="D15" s="24" t="str">
        <f t="array" ref="D15">IFERROR(INDEX(JU_Keterangan,MATCH(A15&amp;$J$2,JU_BB,0)),"")</f>
        <v/>
      </c>
      <c r="E15" s="25" t="str">
        <f t="array" ref="E15">IFERROR(INDEX(JU_Debet,MATCH(A15&amp;$J$2,JU_BB,0)),"")</f>
        <v/>
      </c>
      <c r="F15" s="25" t="str">
        <f t="array" ref="F15">IFERROR(INDEX(JU_Kredit,MATCH(A15&amp;$J$2,JU_BB,0)),"")</f>
        <v/>
      </c>
      <c r="G15" s="25" t="str">
        <f t="shared" si="1"/>
        <v/>
      </c>
      <c r="H15" s="7">
        <f t="shared" si="0"/>
        <v>0</v>
      </c>
      <c r="I15" s="7" t="s">
        <v>61</v>
      </c>
    </row>
    <row r="16" spans="1:10" x14ac:dyDescent="0.2">
      <c r="A16" s="7">
        <v>6</v>
      </c>
      <c r="B16" s="30" t="str">
        <f t="array" ref="B16">IFERROR(INDEX(JU_Tanggal,MATCH(A16&amp;$J$2,JU_BB,0)),"")</f>
        <v/>
      </c>
      <c r="C16" s="24" t="str">
        <f t="array" ref="C16">IFERROR(INDEX(JU_REF,MATCH(A16&amp;$J$2,JU_BB,0)),"")</f>
        <v/>
      </c>
      <c r="D16" s="24" t="str">
        <f t="array" ref="D16">IFERROR(INDEX(JU_Keterangan,MATCH(A16&amp;$J$2,JU_BB,0)),"")</f>
        <v/>
      </c>
      <c r="E16" s="25" t="str">
        <f t="array" ref="E16">IFERROR(INDEX(JU_Debet,MATCH(A16&amp;$J$2,JU_BB,0)),"")</f>
        <v/>
      </c>
      <c r="F16" s="25" t="str">
        <f t="array" ref="F16">IFERROR(INDEX(JU_Kredit,MATCH(A16&amp;$J$2,JU_BB,0)),"")</f>
        <v/>
      </c>
      <c r="G16" s="25" t="str">
        <f t="shared" si="1"/>
        <v/>
      </c>
      <c r="H16" s="7">
        <f t="shared" si="0"/>
        <v>0</v>
      </c>
      <c r="I16" s="7" t="s">
        <v>62</v>
      </c>
    </row>
    <row r="17" spans="1:9" x14ac:dyDescent="0.2">
      <c r="A17" s="7">
        <v>7</v>
      </c>
      <c r="B17" s="30" t="str">
        <f t="array" ref="B17">IFERROR(INDEX(JU_Tanggal,MATCH(A17&amp;$J$2,JU_BB,0)),"")</f>
        <v/>
      </c>
      <c r="C17" s="24" t="str">
        <f t="array" ref="C17">IFERROR(INDEX(JU_REF,MATCH(A17&amp;$J$2,JU_BB,0)),"")</f>
        <v/>
      </c>
      <c r="D17" s="24" t="str">
        <f t="array" ref="D17">IFERROR(INDEX(JU_Keterangan,MATCH(A17&amp;$J$2,JU_BB,0)),"")</f>
        <v/>
      </c>
      <c r="E17" s="25" t="str">
        <f t="array" ref="E17">IFERROR(INDEX(JU_Debet,MATCH(A17&amp;$J$2,JU_BB,0)),"")</f>
        <v/>
      </c>
      <c r="F17" s="25" t="str">
        <f t="array" ref="F17">IFERROR(INDEX(JU_Kredit,MATCH(A17&amp;$J$2,JU_BB,0)),"")</f>
        <v/>
      </c>
      <c r="G17" s="25" t="str">
        <f t="shared" si="1"/>
        <v/>
      </c>
      <c r="H17" s="7">
        <f t="shared" si="0"/>
        <v>0</v>
      </c>
      <c r="I17" s="7" t="s">
        <v>63</v>
      </c>
    </row>
    <row r="18" spans="1:9" x14ac:dyDescent="0.2">
      <c r="A18" s="7">
        <v>8</v>
      </c>
      <c r="B18" s="30" t="str">
        <f t="array" ref="B18">IFERROR(INDEX(JU_Tanggal,MATCH(A18&amp;$J$2,JU_BB,0)),"")</f>
        <v/>
      </c>
      <c r="C18" s="24" t="str">
        <f t="array" ref="C18">IFERROR(INDEX(JU_REF,MATCH(A18&amp;$J$2,JU_BB,0)),"")</f>
        <v/>
      </c>
      <c r="D18" s="24" t="str">
        <f t="array" ref="D18">IFERROR(INDEX(JU_Keterangan,MATCH(A18&amp;$J$2,JU_BB,0)),"")</f>
        <v/>
      </c>
      <c r="E18" s="25" t="str">
        <f t="array" ref="E18">IFERROR(INDEX(JU_Debet,MATCH(A18&amp;$J$2,JU_BB,0)),"")</f>
        <v/>
      </c>
      <c r="F18" s="25" t="str">
        <f t="array" ref="F18">IFERROR(INDEX(JU_Kredit,MATCH(A18&amp;$J$2,JU_BB,0)),"")</f>
        <v/>
      </c>
      <c r="G18" s="25" t="str">
        <f t="shared" si="1"/>
        <v/>
      </c>
      <c r="H18" s="7">
        <f t="shared" si="0"/>
        <v>0</v>
      </c>
      <c r="I18" s="7" t="s">
        <v>63</v>
      </c>
    </row>
    <row r="19" spans="1:9" x14ac:dyDescent="0.2">
      <c r="A19" s="7">
        <v>9</v>
      </c>
      <c r="B19" s="30" t="str">
        <f t="array" ref="B19">IFERROR(INDEX(JU_Tanggal,MATCH(A19&amp;$J$2,JU_BB,0)),"")</f>
        <v/>
      </c>
      <c r="C19" s="24" t="str">
        <f t="array" ref="C19">IFERROR(INDEX(JU_REF,MATCH(A19&amp;$J$2,JU_BB,0)),"")</f>
        <v/>
      </c>
      <c r="D19" s="24" t="str">
        <f t="array" ref="D19">IFERROR(INDEX(JU_Keterangan,MATCH(A19&amp;$J$2,JU_BB,0)),"")</f>
        <v/>
      </c>
      <c r="E19" s="25" t="str">
        <f t="array" ref="E19">IFERROR(INDEX(JU_Debet,MATCH(A19&amp;$J$2,JU_BB,0)),"")</f>
        <v/>
      </c>
      <c r="F19" s="25" t="str">
        <f t="array" ref="F19">IFERROR(INDEX(JU_Kredit,MATCH(A19&amp;$J$2,JU_BB,0)),"")</f>
        <v/>
      </c>
      <c r="G19" s="25" t="str">
        <f t="shared" si="1"/>
        <v/>
      </c>
      <c r="H19" s="7">
        <f t="shared" si="0"/>
        <v>0</v>
      </c>
      <c r="I19" s="7" t="s">
        <v>60</v>
      </c>
    </row>
    <row r="20" spans="1:9" x14ac:dyDescent="0.2">
      <c r="A20" s="7">
        <v>10</v>
      </c>
      <c r="B20" s="30" t="str">
        <f t="array" ref="B20">IFERROR(INDEX(JU_Tanggal,MATCH(A20&amp;$J$2,JU_BB,0)),"")</f>
        <v/>
      </c>
      <c r="C20" s="24" t="str">
        <f t="array" ref="C20">IFERROR(INDEX(JU_REF,MATCH(A20&amp;$J$2,JU_BB,0)),"")</f>
        <v/>
      </c>
      <c r="D20" s="24" t="str">
        <f t="array" ref="D20">IFERROR(INDEX(JU_Keterangan,MATCH(A20&amp;$J$2,JU_BB,0)),"")</f>
        <v/>
      </c>
      <c r="E20" s="25" t="str">
        <f t="array" ref="E20">IFERROR(INDEX(JU_Debet,MATCH(A20&amp;$J$2,JU_BB,0)),"")</f>
        <v/>
      </c>
      <c r="F20" s="25" t="str">
        <f t="array" ref="F20">IFERROR(INDEX(JU_Kredit,MATCH(A20&amp;$J$2,JU_BB,0)),"")</f>
        <v/>
      </c>
      <c r="G20" s="25" t="str">
        <f t="shared" si="1"/>
        <v/>
      </c>
      <c r="H20" s="7">
        <f t="shared" si="0"/>
        <v>0</v>
      </c>
      <c r="I20" s="7" t="s">
        <v>63</v>
      </c>
    </row>
    <row r="21" spans="1:9" ht="15.75" customHeight="1" x14ac:dyDescent="0.2">
      <c r="A21" s="7">
        <v>11</v>
      </c>
      <c r="B21" s="30" t="str">
        <f t="array" ref="B21">IFERROR(INDEX(JU_Tanggal,MATCH(A21&amp;$J$2,JU_BB,0)),"")</f>
        <v/>
      </c>
      <c r="C21" s="24" t="str">
        <f t="array" ref="C21">IFERROR(INDEX(JU_REF,MATCH(A21&amp;$J$2,JU_BB,0)),"")</f>
        <v/>
      </c>
      <c r="D21" s="24" t="str">
        <f t="array" ref="D21">IFERROR(INDEX(JU_Keterangan,MATCH(A21&amp;$J$2,JU_BB,0)),"")</f>
        <v/>
      </c>
      <c r="E21" s="25" t="str">
        <f t="array" ref="E21">IFERROR(INDEX(JU_Debet,MATCH(A21&amp;$J$2,JU_BB,0)),"")</f>
        <v/>
      </c>
      <c r="F21" s="25" t="str">
        <f t="array" ref="F21">IFERROR(INDEX(JU_Kredit,MATCH(A21&amp;$J$2,JU_BB,0)),"")</f>
        <v/>
      </c>
      <c r="G21" s="25" t="str">
        <f t="shared" si="1"/>
        <v/>
      </c>
      <c r="H21" s="7">
        <f t="shared" si="0"/>
        <v>0</v>
      </c>
      <c r="I21" s="7" t="s">
        <v>64</v>
      </c>
    </row>
    <row r="22" spans="1:9" ht="15.75" customHeight="1" x14ac:dyDescent="0.2">
      <c r="A22" s="7">
        <v>12</v>
      </c>
      <c r="B22" s="30" t="str">
        <f t="array" ref="B22">IFERROR(INDEX(JU_Tanggal,MATCH(A22&amp;$J$2,JU_BB,0)),"")</f>
        <v/>
      </c>
      <c r="C22" s="24" t="str">
        <f t="array" ref="C22">IFERROR(INDEX(JU_REF,MATCH(A22&amp;$J$2,JU_BB,0)),"")</f>
        <v/>
      </c>
      <c r="D22" s="24" t="str">
        <f t="array" ref="D22">IFERROR(INDEX(JU_Keterangan,MATCH(A22&amp;$J$2,JU_BB,0)),"")</f>
        <v/>
      </c>
      <c r="E22" s="25" t="str">
        <f t="array" ref="E22">IFERROR(INDEX(JU_Debet,MATCH(A22&amp;$J$2,JU_BB,0)),"")</f>
        <v/>
      </c>
      <c r="F22" s="25" t="str">
        <f t="array" ref="F22">IFERROR(INDEX(JU_Kredit,MATCH(A22&amp;$J$2,JU_BB,0)),"")</f>
        <v/>
      </c>
      <c r="G22" s="25" t="str">
        <f t="shared" si="1"/>
        <v/>
      </c>
      <c r="H22" s="7">
        <f t="shared" si="0"/>
        <v>0</v>
      </c>
      <c r="I22" s="7" t="s">
        <v>64</v>
      </c>
    </row>
    <row r="23" spans="1:9" ht="15.75" customHeight="1" x14ac:dyDescent="0.2">
      <c r="A23" s="7">
        <v>13</v>
      </c>
      <c r="B23" s="30" t="str">
        <f t="array" ref="B23">IFERROR(INDEX(JU_Tanggal,MATCH(A23&amp;$J$2,JU_BB,0)),"")</f>
        <v/>
      </c>
      <c r="C23" s="24" t="str">
        <f t="array" ref="C23">IFERROR(INDEX(JU_REF,MATCH(A23&amp;$J$2,JU_BB,0)),"")</f>
        <v/>
      </c>
      <c r="D23" s="24" t="str">
        <f t="array" ref="D23">IFERROR(INDEX(JU_Keterangan,MATCH(A23&amp;$J$2,JU_BB,0)),"")</f>
        <v/>
      </c>
      <c r="E23" s="25" t="str">
        <f t="array" ref="E23">IFERROR(INDEX(JU_Debet,MATCH(A23&amp;$J$2,JU_BB,0)),"")</f>
        <v/>
      </c>
      <c r="F23" s="25" t="str">
        <f t="array" ref="F23">IFERROR(INDEX(JU_Kredit,MATCH(A23&amp;$J$2,JU_BB,0)),"")</f>
        <v/>
      </c>
      <c r="G23" s="25" t="str">
        <f t="shared" si="1"/>
        <v/>
      </c>
      <c r="H23" s="7">
        <f t="shared" si="0"/>
        <v>0</v>
      </c>
      <c r="I23" s="7" t="s">
        <v>63</v>
      </c>
    </row>
    <row r="24" spans="1:9" ht="15.75" customHeight="1" x14ac:dyDescent="0.2">
      <c r="A24" s="7">
        <v>14</v>
      </c>
      <c r="B24" s="30" t="str">
        <f t="array" ref="B24">IFERROR(INDEX(JU_Tanggal,MATCH(A24&amp;$J$2,JU_BB,0)),"")</f>
        <v/>
      </c>
      <c r="C24" s="24" t="str">
        <f t="array" ref="C24">IFERROR(INDEX(JU_REF,MATCH(A24&amp;$J$2,JU_BB,0)),"")</f>
        <v/>
      </c>
      <c r="D24" s="24" t="str">
        <f t="array" ref="D24">IFERROR(INDEX(JU_Keterangan,MATCH(A24&amp;$J$2,JU_BB,0)),"")</f>
        <v/>
      </c>
      <c r="E24" s="25" t="str">
        <f t="array" ref="E24">IFERROR(INDEX(JU_Debet,MATCH(A24&amp;$J$2,JU_BB,0)),"")</f>
        <v/>
      </c>
      <c r="F24" s="25" t="str">
        <f t="array" ref="F24">IFERROR(INDEX(JU_Kredit,MATCH(A24&amp;$J$2,JU_BB,0)),"")</f>
        <v/>
      </c>
      <c r="G24" s="25" t="str">
        <f t="shared" si="1"/>
        <v/>
      </c>
      <c r="H24" s="7">
        <f t="shared" si="0"/>
        <v>0</v>
      </c>
      <c r="I24" s="7" t="s">
        <v>60</v>
      </c>
    </row>
    <row r="25" spans="1:9" ht="15.75" customHeight="1" x14ac:dyDescent="0.2">
      <c r="A25" s="7">
        <v>15</v>
      </c>
      <c r="B25" s="30" t="str">
        <f t="array" ref="B25">IFERROR(INDEX(JU_Tanggal,MATCH(A25&amp;$J$2,JU_BB,0)),"")</f>
        <v/>
      </c>
      <c r="C25" s="24" t="str">
        <f t="array" ref="C25">IFERROR(INDEX(JU_REF,MATCH(A25&amp;$J$2,JU_BB,0)),"")</f>
        <v/>
      </c>
      <c r="D25" s="24" t="str">
        <f t="array" ref="D25">IFERROR(INDEX(JU_Keterangan,MATCH(A25&amp;$J$2,JU_BB,0)),"")</f>
        <v/>
      </c>
      <c r="E25" s="25" t="str">
        <f t="array" ref="E25">IFERROR(INDEX(JU_Debet,MATCH(A25&amp;$J$2,JU_BB,0)),"")</f>
        <v/>
      </c>
      <c r="F25" s="25" t="str">
        <f t="array" ref="F25">IFERROR(INDEX(JU_Kredit,MATCH(A25&amp;$J$2,JU_BB,0)),"")</f>
        <v/>
      </c>
      <c r="G25" s="25" t="str">
        <f t="shared" si="1"/>
        <v/>
      </c>
      <c r="H25" s="7">
        <f t="shared" si="0"/>
        <v>0</v>
      </c>
      <c r="I25" s="7" t="s">
        <v>63</v>
      </c>
    </row>
    <row r="26" spans="1:9" ht="15.75" customHeight="1" x14ac:dyDescent="0.2">
      <c r="A26" s="7">
        <v>16</v>
      </c>
      <c r="B26" s="30" t="str">
        <f t="array" ref="B26">IFERROR(INDEX(JU_Tanggal,MATCH(A26&amp;$J$2,JU_BB,0)),"")</f>
        <v/>
      </c>
      <c r="C26" s="24" t="str">
        <f t="array" ref="C26">IFERROR(INDEX(JU_REF,MATCH(A26&amp;$J$2,JU_BB,0)),"")</f>
        <v/>
      </c>
      <c r="D26" s="24" t="str">
        <f t="array" ref="D26">IFERROR(INDEX(JU_Keterangan,MATCH(A26&amp;$J$2,JU_BB,0)),"")</f>
        <v/>
      </c>
      <c r="E26" s="25" t="str">
        <f t="array" ref="E26">IFERROR(INDEX(JU_Debet,MATCH(A26&amp;$J$2,JU_BB,0)),"")</f>
        <v/>
      </c>
      <c r="F26" s="25" t="str">
        <f t="array" ref="F26">IFERROR(INDEX(JU_Kredit,MATCH(A26&amp;$J$2,JU_BB,0)),"")</f>
        <v/>
      </c>
      <c r="G26" s="25" t="str">
        <f t="shared" si="1"/>
        <v/>
      </c>
      <c r="H26" s="7">
        <f t="shared" si="0"/>
        <v>0</v>
      </c>
      <c r="I26" s="7" t="s">
        <v>63</v>
      </c>
    </row>
    <row r="27" spans="1:9" ht="15.75" customHeight="1" x14ac:dyDescent="0.2">
      <c r="A27" s="7">
        <f t="shared" ref="A27:A73" si="2">A26+1</f>
        <v>17</v>
      </c>
      <c r="B27" s="30" t="str">
        <f t="array" ref="B27">IFERROR(INDEX(JU_Tanggal,MATCH(A27&amp;$J$2,JU_BB,0)),"")</f>
        <v/>
      </c>
      <c r="C27" s="24" t="str">
        <f t="array" ref="C27">IFERROR(INDEX(JU_REF,MATCH(A27&amp;$J$2,JU_BB,0)),"")</f>
        <v/>
      </c>
      <c r="D27" s="24" t="str">
        <f t="array" ref="D27">IFERROR(INDEX(JU_Keterangan,MATCH(A27&amp;$J$2,JU_BB,0)),"")</f>
        <v/>
      </c>
      <c r="E27" s="25" t="str">
        <f t="array" ref="E27">IFERROR(INDEX(JU_Debet,MATCH(A27&amp;$J$2,JU_BB,0)),"")</f>
        <v/>
      </c>
      <c r="F27" s="25" t="str">
        <f t="array" ref="F27">IFERROR(INDEX(JU_Kredit,MATCH(A27&amp;$J$2,JU_BB,0)),"")</f>
        <v/>
      </c>
      <c r="G27" s="25" t="str">
        <f t="shared" si="1"/>
        <v/>
      </c>
      <c r="H27" s="7">
        <f t="shared" si="0"/>
        <v>0</v>
      </c>
      <c r="I27" s="7" t="s">
        <v>60</v>
      </c>
    </row>
    <row r="28" spans="1:9" ht="15.75" customHeight="1" x14ac:dyDescent="0.2">
      <c r="A28" s="7">
        <f t="shared" si="2"/>
        <v>18</v>
      </c>
      <c r="B28" s="30" t="str">
        <f t="array" ref="B28">IFERROR(INDEX(JU_Tanggal,MATCH(A28&amp;$J$2,JU_BB,0)),"")</f>
        <v/>
      </c>
      <c r="C28" s="24" t="str">
        <f t="array" ref="C28">IFERROR(INDEX(JU_REF,MATCH(A28&amp;$J$2,JU_BB,0)),"")</f>
        <v/>
      </c>
      <c r="D28" s="24" t="str">
        <f t="array" ref="D28">IFERROR(INDEX(JU_Keterangan,MATCH(A28&amp;$J$2,JU_BB,0)),"")</f>
        <v/>
      </c>
      <c r="E28" s="25" t="str">
        <f t="array" ref="E28">IFERROR(INDEX(JU_Debet,MATCH(A28&amp;$J$2,JU_BB,0)),"")</f>
        <v/>
      </c>
      <c r="F28" s="25" t="str">
        <f t="array" ref="F28">IFERROR(INDEX(JU_Kredit,MATCH(A28&amp;$J$2,JU_BB,0)),"")</f>
        <v/>
      </c>
      <c r="G28" s="25" t="str">
        <f t="shared" si="1"/>
        <v/>
      </c>
      <c r="H28" s="7">
        <f t="shared" si="0"/>
        <v>0</v>
      </c>
      <c r="I28" s="7" t="s">
        <v>61</v>
      </c>
    </row>
    <row r="29" spans="1:9" ht="15.75" customHeight="1" x14ac:dyDescent="0.2">
      <c r="A29" s="7">
        <f t="shared" si="2"/>
        <v>19</v>
      </c>
      <c r="B29" s="30" t="str">
        <f t="array" ref="B29">IFERROR(INDEX(JU_Tanggal,MATCH(A29&amp;$J$2,JU_BB,0)),"")</f>
        <v/>
      </c>
      <c r="C29" s="24" t="str">
        <f t="array" ref="C29">IFERROR(INDEX(JU_REF,MATCH(A29&amp;$J$2,JU_BB,0)),"")</f>
        <v/>
      </c>
      <c r="D29" s="24" t="str">
        <f t="array" ref="D29">IFERROR(INDEX(JU_Keterangan,MATCH(A29&amp;$J$2,JU_BB,0)),"")</f>
        <v/>
      </c>
      <c r="E29" s="25" t="str">
        <f t="array" ref="E29">IFERROR(INDEX(JU_Debet,MATCH(A29&amp;$J$2,JU_BB,0)),"")</f>
        <v/>
      </c>
      <c r="F29" s="25" t="str">
        <f t="array" ref="F29">IFERROR(INDEX(JU_Kredit,MATCH(A29&amp;$J$2,JU_BB,0)),"")</f>
        <v/>
      </c>
      <c r="G29" s="25" t="str">
        <f t="shared" si="1"/>
        <v/>
      </c>
      <c r="H29" s="7">
        <f t="shared" si="0"/>
        <v>0</v>
      </c>
      <c r="I29" s="7" t="s">
        <v>63</v>
      </c>
    </row>
    <row r="30" spans="1:9" ht="15.75" customHeight="1" x14ac:dyDescent="0.2">
      <c r="A30" s="7">
        <f t="shared" si="2"/>
        <v>20</v>
      </c>
      <c r="B30" s="30" t="str">
        <f t="array" ref="B30">IFERROR(INDEX(JU_Tanggal,MATCH(A30&amp;$J$2,JU_BB,0)),"")</f>
        <v/>
      </c>
      <c r="C30" s="24" t="str">
        <f t="array" ref="C30">IFERROR(INDEX(JU_REF,MATCH(A30&amp;$J$2,JU_BB,0)),"")</f>
        <v/>
      </c>
      <c r="D30" s="24" t="str">
        <f t="array" ref="D30">IFERROR(INDEX(JU_Keterangan,MATCH(A30&amp;$J$2,JU_BB,0)),"")</f>
        <v/>
      </c>
      <c r="E30" s="25" t="str">
        <f t="array" ref="E30">IFERROR(INDEX(JU_Debet,MATCH(A30&amp;$J$2,JU_BB,0)),"")</f>
        <v/>
      </c>
      <c r="F30" s="25" t="str">
        <f t="array" ref="F30">IFERROR(INDEX(JU_Kredit,MATCH(A30&amp;$J$2,JU_BB,0)),"")</f>
        <v/>
      </c>
      <c r="G30" s="25" t="str">
        <f t="shared" si="1"/>
        <v/>
      </c>
      <c r="H30" s="7">
        <f t="shared" si="0"/>
        <v>0</v>
      </c>
      <c r="I30" s="7" t="s">
        <v>63</v>
      </c>
    </row>
    <row r="31" spans="1:9" ht="15.75" customHeight="1" x14ac:dyDescent="0.2">
      <c r="A31" s="7">
        <f t="shared" si="2"/>
        <v>21</v>
      </c>
      <c r="B31" s="30" t="str">
        <f t="array" ref="B31">IFERROR(INDEX(JU_Tanggal,MATCH(A31&amp;$J$2,JU_BB,0)),"")</f>
        <v/>
      </c>
      <c r="C31" s="24" t="str">
        <f t="array" ref="C31">IFERROR(INDEX(JU_REF,MATCH(A31&amp;$J$2,JU_BB,0)),"")</f>
        <v/>
      </c>
      <c r="D31" s="24" t="str">
        <f t="array" ref="D31">IFERROR(INDEX(JU_Keterangan,MATCH(A31&amp;$J$2,JU_BB,0)),"")</f>
        <v/>
      </c>
      <c r="E31" s="25" t="str">
        <f t="array" ref="E31">IFERROR(INDEX(JU_Debet,MATCH(A31&amp;$J$2,JU_BB,0)),"")</f>
        <v/>
      </c>
      <c r="F31" s="25" t="str">
        <f t="array" ref="F31">IFERROR(INDEX(JU_Kredit,MATCH(A31&amp;$J$2,JU_BB,0)),"")</f>
        <v/>
      </c>
      <c r="G31" s="25" t="str">
        <f t="shared" si="1"/>
        <v/>
      </c>
      <c r="H31" s="7">
        <f t="shared" si="0"/>
        <v>0</v>
      </c>
      <c r="I31" s="7" t="s">
        <v>63</v>
      </c>
    </row>
    <row r="32" spans="1:9" ht="15.75" customHeight="1" x14ac:dyDescent="0.2">
      <c r="A32" s="7">
        <f t="shared" si="2"/>
        <v>22</v>
      </c>
      <c r="B32" s="30" t="str">
        <f t="array" ref="B32">IFERROR(INDEX(JU_Tanggal,MATCH(A32&amp;$J$2,JU_BB,0)),"")</f>
        <v/>
      </c>
      <c r="C32" s="24" t="str">
        <f t="array" ref="C32">IFERROR(INDEX(JU_REF,MATCH(A32&amp;$J$2,JU_BB,0)),"")</f>
        <v/>
      </c>
      <c r="D32" s="24" t="str">
        <f t="array" ref="D32">IFERROR(INDEX(JU_Keterangan,MATCH(A32&amp;$J$2,JU_BB,0)),"")</f>
        <v/>
      </c>
      <c r="E32" s="25" t="str">
        <f t="array" ref="E32">IFERROR(INDEX(JU_Debet,MATCH(A32&amp;$J$2,JU_BB,0)),"")</f>
        <v/>
      </c>
      <c r="F32" s="25" t="str">
        <f t="array" ref="F32">IFERROR(INDEX(JU_Kredit,MATCH(A32&amp;$J$2,JU_BB,0)),"")</f>
        <v/>
      </c>
      <c r="G32" s="25" t="str">
        <f t="shared" si="1"/>
        <v/>
      </c>
      <c r="H32" s="7">
        <f t="shared" si="0"/>
        <v>0</v>
      </c>
      <c r="I32" s="7" t="s">
        <v>60</v>
      </c>
    </row>
    <row r="33" spans="1:13" ht="15.75" customHeight="1" x14ac:dyDescent="0.2">
      <c r="A33" s="7">
        <f t="shared" si="2"/>
        <v>23</v>
      </c>
      <c r="B33" s="30" t="str">
        <f t="array" ref="B33">IFERROR(INDEX(JU_Tanggal,MATCH(A33&amp;$J$2,JU_BB,0)),"")</f>
        <v/>
      </c>
      <c r="C33" s="24" t="str">
        <f t="array" ref="C33">IFERROR(INDEX(JU_REF,MATCH(A33&amp;$J$2,JU_BB,0)),"")</f>
        <v/>
      </c>
      <c r="D33" s="24" t="str">
        <f t="array" ref="D33">IFERROR(INDEX(JU_Keterangan,MATCH(A33&amp;$J$2,JU_BB,0)),"")</f>
        <v/>
      </c>
      <c r="E33" s="25" t="str">
        <f t="array" ref="E33">IFERROR(INDEX(JU_Debet,MATCH(A33&amp;$J$2,JU_BB,0)),"")</f>
        <v/>
      </c>
      <c r="F33" s="25" t="str">
        <f t="array" ref="F33">IFERROR(INDEX(JU_Kredit,MATCH(A33&amp;$J$2,JU_BB,0)),"")</f>
        <v/>
      </c>
      <c r="G33" s="25" t="str">
        <f t="shared" si="1"/>
        <v/>
      </c>
      <c r="H33" s="7">
        <f t="shared" si="0"/>
        <v>0</v>
      </c>
      <c r="I33" s="7" t="s">
        <v>63</v>
      </c>
    </row>
    <row r="34" spans="1:13" ht="15.75" customHeight="1" x14ac:dyDescent="0.2">
      <c r="A34" s="7">
        <f t="shared" si="2"/>
        <v>24</v>
      </c>
      <c r="B34" s="30" t="str">
        <f t="array" ref="B34">IFERROR(INDEX(JU_Tanggal,MATCH(A34&amp;$J$2,JU_BB,0)),"")</f>
        <v/>
      </c>
      <c r="C34" s="24" t="str">
        <f t="array" ref="C34">IFERROR(INDEX(JU_REF,MATCH(A34&amp;$J$2,JU_BB,0)),"")</f>
        <v/>
      </c>
      <c r="D34" s="24" t="str">
        <f t="array" ref="D34">IFERROR(INDEX(JU_Keterangan,MATCH(A34&amp;$J$2,JU_BB,0)),"")</f>
        <v/>
      </c>
      <c r="E34" s="25" t="str">
        <f t="array" ref="E34">IFERROR(INDEX(JU_Debet,MATCH(A34&amp;$J$2,JU_BB,0)),"")</f>
        <v/>
      </c>
      <c r="F34" s="25" t="str">
        <f t="array" ref="F34">IFERROR(INDEX(JU_Kredit,MATCH(A34&amp;$J$2,JU_BB,0)),"")</f>
        <v/>
      </c>
      <c r="G34" s="25" t="str">
        <f t="shared" si="1"/>
        <v/>
      </c>
      <c r="H34" s="7">
        <f t="shared" si="0"/>
        <v>0</v>
      </c>
      <c r="I34" s="7" t="s">
        <v>60</v>
      </c>
    </row>
    <row r="35" spans="1:13" ht="15.75" customHeight="1" x14ac:dyDescent="0.2">
      <c r="A35" s="7">
        <f t="shared" si="2"/>
        <v>25</v>
      </c>
      <c r="B35" s="30" t="str">
        <f t="array" ref="B35">IFERROR(INDEX(JU_Tanggal,MATCH(A35&amp;$J$2,JU_BB,0)),"")</f>
        <v/>
      </c>
      <c r="C35" s="24" t="str">
        <f t="array" ref="C35">IFERROR(INDEX(JU_REF,MATCH(A35&amp;$J$2,JU_BB,0)),"")</f>
        <v/>
      </c>
      <c r="D35" s="24" t="str">
        <f t="array" ref="D35">IFERROR(INDEX(JU_Keterangan,MATCH(A35&amp;$J$2,JU_BB,0)),"")</f>
        <v/>
      </c>
      <c r="E35" s="25" t="str">
        <f t="array" ref="E35">IFERROR(INDEX(JU_Debet,MATCH(A35&amp;$J$2,JU_BB,0)),"")</f>
        <v/>
      </c>
      <c r="F35" s="25" t="str">
        <f t="array" ref="F35">IFERROR(INDEX(JU_Kredit,MATCH(A35&amp;$J$2,JU_BB,0)),"")</f>
        <v/>
      </c>
      <c r="G35" s="25" t="str">
        <f t="shared" si="1"/>
        <v/>
      </c>
      <c r="H35" s="7">
        <f t="shared" si="0"/>
        <v>0</v>
      </c>
      <c r="I35" s="7" t="s">
        <v>63</v>
      </c>
    </row>
    <row r="36" spans="1:13" ht="15.75" customHeight="1" x14ac:dyDescent="0.2">
      <c r="A36" s="7">
        <f t="shared" si="2"/>
        <v>26</v>
      </c>
      <c r="B36" s="30" t="str">
        <f t="array" ref="B36">IFERROR(INDEX(JU_Tanggal,MATCH(A36&amp;$J$2,JU_BB,0)),"")</f>
        <v/>
      </c>
      <c r="C36" s="24" t="str">
        <f t="array" ref="C36">IFERROR(INDEX(JU_REF,MATCH(A36&amp;$J$2,JU_BB,0)),"")</f>
        <v/>
      </c>
      <c r="D36" s="24" t="str">
        <f t="array" ref="D36">IFERROR(INDEX(JU_Keterangan,MATCH(A36&amp;$J$2,JU_BB,0)),"")</f>
        <v/>
      </c>
      <c r="E36" s="25" t="str">
        <f t="array" ref="E36">IFERROR(INDEX(JU_Debet,MATCH(A36&amp;$J$2,JU_BB,0)),"")</f>
        <v/>
      </c>
      <c r="F36" s="25" t="str">
        <f t="array" ref="F36">IFERROR(INDEX(JU_Kredit,MATCH(A36&amp;$J$2,JU_BB,0)),"")</f>
        <v/>
      </c>
      <c r="G36" s="25" t="str">
        <f t="shared" si="1"/>
        <v/>
      </c>
      <c r="H36" s="7">
        <f t="shared" si="0"/>
        <v>0</v>
      </c>
      <c r="I36" s="7" t="s">
        <v>63</v>
      </c>
    </row>
    <row r="37" spans="1:13" ht="15.75" customHeight="1" x14ac:dyDescent="0.2">
      <c r="A37" s="7">
        <f t="shared" si="2"/>
        <v>27</v>
      </c>
      <c r="B37" s="30" t="str">
        <f t="array" ref="B37">IFERROR(INDEX(JU_Tanggal,MATCH(A37&amp;$J$2,JU_BB,0)),"")</f>
        <v/>
      </c>
      <c r="C37" s="24" t="str">
        <f t="array" ref="C37">IFERROR(INDEX(JU_REF,MATCH(A37&amp;$J$2,JU_BB,0)),"")</f>
        <v/>
      </c>
      <c r="D37" s="24" t="str">
        <f t="array" ref="D37">IFERROR(INDEX(JU_Keterangan,MATCH(A37&amp;$J$2,JU_BB,0)),"")</f>
        <v/>
      </c>
      <c r="E37" s="25" t="str">
        <f t="array" ref="E37">IFERROR(INDEX(JU_Debet,MATCH(A37&amp;$J$2,JU_BB,0)),"")</f>
        <v/>
      </c>
      <c r="F37" s="25" t="str">
        <f t="array" ref="F37">IFERROR(INDEX(JU_Kredit,MATCH(A37&amp;$J$2,JU_BB,0)),"")</f>
        <v/>
      </c>
      <c r="G37" s="25" t="str">
        <f t="shared" si="1"/>
        <v/>
      </c>
      <c r="H37" s="7">
        <f t="shared" si="0"/>
        <v>0</v>
      </c>
      <c r="I37" s="7" t="s">
        <v>61</v>
      </c>
    </row>
    <row r="38" spans="1:13" ht="15.75" customHeight="1" x14ac:dyDescent="0.2">
      <c r="A38" s="7">
        <f t="shared" si="2"/>
        <v>28</v>
      </c>
      <c r="B38" s="30" t="str">
        <f t="array" ref="B38">IFERROR(INDEX(JU_Tanggal,MATCH(A38&amp;$J$2,JU_BB,0)),"")</f>
        <v/>
      </c>
      <c r="C38" s="24" t="str">
        <f t="array" ref="C38">IFERROR(INDEX(JU_REF,MATCH(A38&amp;$J$2,JU_BB,0)),"")</f>
        <v/>
      </c>
      <c r="D38" s="24" t="str">
        <f t="array" ref="D38">IFERROR(INDEX(JU_Keterangan,MATCH(A38&amp;$J$2,JU_BB,0)),"")</f>
        <v/>
      </c>
      <c r="E38" s="25" t="str">
        <f t="array" ref="E38">IFERROR(INDEX(JU_Debet,MATCH(A38&amp;$J$2,JU_BB,0)),"")</f>
        <v/>
      </c>
      <c r="F38" s="25" t="str">
        <f t="array" ref="F38">IFERROR(INDEX(JU_Kredit,MATCH(A38&amp;$J$2,JU_BB,0)),"")</f>
        <v/>
      </c>
      <c r="G38" s="25" t="str">
        <f t="shared" si="1"/>
        <v/>
      </c>
      <c r="H38" s="7">
        <f t="shared" si="0"/>
        <v>0</v>
      </c>
      <c r="I38" s="7" t="s">
        <v>60</v>
      </c>
    </row>
    <row r="39" spans="1:13" ht="15.75" customHeight="1" x14ac:dyDescent="0.2">
      <c r="A39" s="7">
        <f t="shared" si="2"/>
        <v>29</v>
      </c>
      <c r="B39" s="30" t="str">
        <f t="array" ref="B39">IFERROR(INDEX(JU_Tanggal,MATCH(A39&amp;$J$2,JU_BB,0)),"")</f>
        <v/>
      </c>
      <c r="C39" s="24" t="str">
        <f t="array" ref="C39">IFERROR(INDEX(JU_REF,MATCH(A39&amp;$J$2,JU_BB,0)),"")</f>
        <v/>
      </c>
      <c r="D39" s="24" t="str">
        <f t="array" ref="D39">IFERROR(INDEX(JU_Keterangan,MATCH(A39&amp;$J$2,JU_BB,0)),"")</f>
        <v/>
      </c>
      <c r="E39" s="25" t="str">
        <f t="array" ref="E39">IFERROR(INDEX(JU_Debet,MATCH(A39&amp;$J$2,JU_BB,0)),"")</f>
        <v/>
      </c>
      <c r="F39" s="25" t="str">
        <f t="array" ref="F39">IFERROR(INDEX(JU_Kredit,MATCH(A39&amp;$J$2,JU_BB,0)),"")</f>
        <v/>
      </c>
      <c r="G39" s="25" t="str">
        <f t="shared" si="1"/>
        <v/>
      </c>
      <c r="H39" s="7">
        <f t="shared" si="0"/>
        <v>0</v>
      </c>
      <c r="I39" s="7" t="s">
        <v>63</v>
      </c>
      <c r="J39" s="7"/>
      <c r="K39" s="7"/>
      <c r="L39" s="7"/>
      <c r="M39" s="7"/>
    </row>
    <row r="40" spans="1:13" ht="15.75" customHeight="1" x14ac:dyDescent="0.2">
      <c r="A40" s="7">
        <f t="shared" si="2"/>
        <v>30</v>
      </c>
      <c r="B40" s="30" t="str">
        <f t="array" ref="B40">IFERROR(INDEX(JU_Tanggal,MATCH(A40&amp;$J$2,JU_BB,0)),"")</f>
        <v/>
      </c>
      <c r="C40" s="24" t="str">
        <f t="array" ref="C40">IFERROR(INDEX(JU_REF,MATCH(A40&amp;$J$2,JU_BB,0)),"")</f>
        <v/>
      </c>
      <c r="D40" s="24" t="str">
        <f t="array" ref="D40">IFERROR(INDEX(JU_Keterangan,MATCH(A40&amp;$J$2,JU_BB,0)),"")</f>
        <v/>
      </c>
      <c r="E40" s="25" t="str">
        <f t="array" ref="E40">IFERROR(INDEX(JU_Debet,MATCH(A40&amp;$J$2,JU_BB,0)),"")</f>
        <v/>
      </c>
      <c r="F40" s="25" t="str">
        <f t="array" ref="F40">IFERROR(INDEX(JU_Kredit,MATCH(A40&amp;$J$2,JU_BB,0)),"")</f>
        <v/>
      </c>
      <c r="G40" s="25" t="str">
        <f t="shared" si="1"/>
        <v/>
      </c>
      <c r="H40" s="7">
        <f t="shared" si="0"/>
        <v>0</v>
      </c>
      <c r="I40" s="7" t="s">
        <v>64</v>
      </c>
      <c r="J40" s="7"/>
      <c r="K40" s="7"/>
      <c r="L40" s="7"/>
      <c r="M40" s="7"/>
    </row>
    <row r="41" spans="1:13" ht="15.75" customHeight="1" x14ac:dyDescent="0.2">
      <c r="A41" s="7">
        <f t="shared" si="2"/>
        <v>31</v>
      </c>
      <c r="B41" s="30" t="str">
        <f t="array" ref="B41">IFERROR(INDEX(JU_Tanggal,MATCH(A41&amp;$J$2,JU_BB,0)),"")</f>
        <v/>
      </c>
      <c r="C41" s="24" t="str">
        <f t="array" ref="C41">IFERROR(INDEX(JU_REF,MATCH(A41&amp;$J$2,JU_BB,0)),"")</f>
        <v/>
      </c>
      <c r="D41" s="24" t="str">
        <f t="array" ref="D41">IFERROR(INDEX(JU_Keterangan,MATCH(A41&amp;$J$2,JU_BB,0)),"")</f>
        <v/>
      </c>
      <c r="E41" s="25" t="str">
        <f t="array" ref="E41">IFERROR(INDEX(JU_Debet,MATCH(A41&amp;$J$2,JU_BB,0)),"")</f>
        <v/>
      </c>
      <c r="F41" s="25" t="str">
        <f t="array" ref="F41">IFERROR(INDEX(JU_Kredit,MATCH(A41&amp;$J$2,JU_BB,0)),"")</f>
        <v/>
      </c>
      <c r="G41" s="25" t="str">
        <f t="shared" si="1"/>
        <v/>
      </c>
      <c r="H41" s="7">
        <f t="shared" si="0"/>
        <v>0</v>
      </c>
      <c r="I41" s="7" t="s">
        <v>65</v>
      </c>
      <c r="J41" s="7"/>
      <c r="K41" s="7"/>
      <c r="L41" s="7"/>
      <c r="M41" s="7"/>
    </row>
    <row r="42" spans="1:13" ht="15.75" customHeight="1" x14ac:dyDescent="0.2">
      <c r="A42" s="7">
        <f t="shared" si="2"/>
        <v>32</v>
      </c>
      <c r="B42" s="30" t="str">
        <f t="array" ref="B42">IFERROR(INDEX(JU_Tanggal,MATCH(A42&amp;$J$2,JU_BB,0)),"")</f>
        <v/>
      </c>
      <c r="C42" s="24" t="str">
        <f t="array" ref="C42">IFERROR(INDEX(JU_REF,MATCH(A42&amp;$J$2,JU_BB,0)),"")</f>
        <v/>
      </c>
      <c r="D42" s="24" t="str">
        <f t="array" ref="D42">IFERROR(INDEX(JU_Keterangan,MATCH(A42&amp;$J$2,JU_BB,0)),"")</f>
        <v/>
      </c>
      <c r="E42" s="25" t="str">
        <f t="array" ref="E42">IFERROR(INDEX(JU_Debet,MATCH(A42&amp;$J$2,JU_BB,0)),"")</f>
        <v/>
      </c>
      <c r="F42" s="25" t="str">
        <f t="array" ref="F42">IFERROR(INDEX(JU_Kredit,MATCH(A42&amp;$J$2,JU_BB,0)),"")</f>
        <v/>
      </c>
      <c r="G42" s="25" t="str">
        <f t="shared" si="1"/>
        <v/>
      </c>
      <c r="H42" s="7">
        <f t="shared" si="0"/>
        <v>0</v>
      </c>
      <c r="I42" s="7" t="s">
        <v>60</v>
      </c>
      <c r="J42" s="7"/>
      <c r="K42" s="7"/>
      <c r="L42" s="7"/>
      <c r="M42" s="7"/>
    </row>
    <row r="43" spans="1:13" ht="15.75" customHeight="1" x14ac:dyDescent="0.2">
      <c r="A43" s="7">
        <f t="shared" si="2"/>
        <v>33</v>
      </c>
      <c r="B43" s="30" t="str">
        <f t="array" ref="B43">IFERROR(INDEX(JU_Tanggal,MATCH(A43&amp;$J$2,JU_BB,0)),"")</f>
        <v/>
      </c>
      <c r="C43" s="24" t="str">
        <f t="array" ref="C43">IFERROR(INDEX(JU_REF,MATCH(A43&amp;$J$2,JU_BB,0)),"")</f>
        <v/>
      </c>
      <c r="D43" s="24" t="str">
        <f t="array" ref="D43">IFERROR(INDEX(JU_Keterangan,MATCH(A43&amp;$J$2,JU_BB,0)),"")</f>
        <v/>
      </c>
      <c r="E43" s="25" t="str">
        <f t="array" ref="E43">IFERROR(INDEX(JU_Debet,MATCH(A43&amp;$J$2,JU_BB,0)),"")</f>
        <v/>
      </c>
      <c r="F43" s="25" t="str">
        <f t="array" ref="F43">IFERROR(INDEX(JU_Kredit,MATCH(A43&amp;$J$2,JU_BB,0)),"")</f>
        <v/>
      </c>
      <c r="G43" s="25" t="str">
        <f t="shared" si="1"/>
        <v/>
      </c>
      <c r="H43" s="7">
        <f t="shared" si="0"/>
        <v>0</v>
      </c>
      <c r="I43" s="7" t="s">
        <v>60</v>
      </c>
      <c r="J43" s="7"/>
      <c r="K43" s="7"/>
      <c r="L43" s="7"/>
      <c r="M43" s="7"/>
    </row>
    <row r="44" spans="1:13" ht="15.75" customHeight="1" x14ac:dyDescent="0.2">
      <c r="A44" s="7">
        <f t="shared" si="2"/>
        <v>34</v>
      </c>
      <c r="B44" s="30" t="str">
        <f t="array" ref="B44">IFERROR(INDEX(JU_Tanggal,MATCH(A44&amp;$J$2,JU_BB,0)),"")</f>
        <v/>
      </c>
      <c r="C44" s="24" t="str">
        <f t="array" ref="C44">IFERROR(INDEX(JU_REF,MATCH(A44&amp;$J$2,JU_BB,0)),"")</f>
        <v/>
      </c>
      <c r="D44" s="24" t="str">
        <f t="array" ref="D44">IFERROR(INDEX(JU_Keterangan,MATCH(A44&amp;$J$2,JU_BB,0)),"")</f>
        <v/>
      </c>
      <c r="E44" s="25" t="str">
        <f t="array" ref="E44">IFERROR(INDEX(JU_Debet,MATCH(A44&amp;$J$2,JU_BB,0)),"")</f>
        <v/>
      </c>
      <c r="F44" s="25" t="str">
        <f t="array" ref="F44">IFERROR(INDEX(JU_Kredit,MATCH(A44&amp;$J$2,JU_BB,0)),"")</f>
        <v/>
      </c>
      <c r="G44" s="25" t="str">
        <f t="shared" si="1"/>
        <v/>
      </c>
      <c r="H44" s="7">
        <f t="shared" si="0"/>
        <v>0</v>
      </c>
      <c r="I44" s="7" t="s">
        <v>60</v>
      </c>
      <c r="J44" s="7"/>
      <c r="K44" s="7"/>
      <c r="L44" s="7"/>
      <c r="M44" s="7"/>
    </row>
    <row r="45" spans="1:13" ht="15.75" customHeight="1" x14ac:dyDescent="0.2">
      <c r="A45" s="7">
        <f t="shared" si="2"/>
        <v>35</v>
      </c>
      <c r="B45" s="30" t="str">
        <f t="array" ref="B45">IFERROR(INDEX(JU_Tanggal,MATCH(A45&amp;$J$2,JU_BB,0)),"")</f>
        <v/>
      </c>
      <c r="C45" s="24" t="str">
        <f t="array" ref="C45">IFERROR(INDEX(JU_REF,MATCH(A45&amp;$J$2,JU_BB,0)),"")</f>
        <v/>
      </c>
      <c r="D45" s="24" t="str">
        <f t="array" ref="D45">IFERROR(INDEX(JU_Keterangan,MATCH(A45&amp;$J$2,JU_BB,0)),"")</f>
        <v/>
      </c>
      <c r="E45" s="25" t="str">
        <f t="array" ref="E45">IFERROR(INDEX(JU_Debet,MATCH(A45&amp;$J$2,JU_BB,0)),"")</f>
        <v/>
      </c>
      <c r="F45" s="25" t="str">
        <f t="array" ref="F45">IFERROR(INDEX(JU_Kredit,MATCH(A45&amp;$J$2,JU_BB,0)),"")</f>
        <v/>
      </c>
      <c r="G45" s="25" t="str">
        <f t="shared" si="1"/>
        <v/>
      </c>
      <c r="H45" s="7">
        <f t="shared" si="0"/>
        <v>0</v>
      </c>
      <c r="I45" s="7" t="s">
        <v>63</v>
      </c>
      <c r="J45" s="7"/>
      <c r="K45" s="7"/>
      <c r="L45" s="7"/>
      <c r="M45" s="7"/>
    </row>
    <row r="46" spans="1:13" ht="15.75" customHeight="1" x14ac:dyDescent="0.2">
      <c r="A46" s="7">
        <f t="shared" si="2"/>
        <v>36</v>
      </c>
      <c r="B46" s="30" t="str">
        <f t="array" ref="B46">IFERROR(INDEX(JU_Tanggal,MATCH(A46&amp;$J$2,JU_BB,0)),"")</f>
        <v/>
      </c>
      <c r="C46" s="24" t="str">
        <f t="array" ref="C46">IFERROR(INDEX(JU_REF,MATCH(A46&amp;$J$2,JU_BB,0)),"")</f>
        <v/>
      </c>
      <c r="D46" s="24" t="str">
        <f t="array" ref="D46">IFERROR(INDEX(JU_Keterangan,MATCH(A46&amp;$J$2,JU_BB,0)),"")</f>
        <v/>
      </c>
      <c r="E46" s="25" t="str">
        <f t="array" ref="E46">IFERROR(INDEX(JU_Debet,MATCH(A46&amp;$J$2,JU_BB,0)),"")</f>
        <v/>
      </c>
      <c r="F46" s="25" t="str">
        <f t="array" ref="F46">IFERROR(INDEX(JU_Kredit,MATCH(A46&amp;$J$2,JU_BB,0)),"")</f>
        <v/>
      </c>
      <c r="G46" s="25" t="str">
        <f t="shared" si="1"/>
        <v/>
      </c>
      <c r="H46" s="7">
        <f t="shared" si="0"/>
        <v>0</v>
      </c>
      <c r="I46" s="7" t="s">
        <v>65</v>
      </c>
      <c r="J46" s="7"/>
      <c r="K46" s="7"/>
      <c r="L46" s="7"/>
      <c r="M46" s="7"/>
    </row>
    <row r="47" spans="1:13" ht="15.75" customHeight="1" x14ac:dyDescent="0.2">
      <c r="A47" s="7">
        <f t="shared" si="2"/>
        <v>37</v>
      </c>
      <c r="B47" s="30" t="str">
        <f t="array" ref="B47">IFERROR(INDEX(JU_Tanggal,MATCH(A47&amp;$J$2,JU_BB,0)),"")</f>
        <v/>
      </c>
      <c r="C47" s="24" t="str">
        <f t="array" ref="C47">IFERROR(INDEX(JU_REF,MATCH(A47&amp;$J$2,JU_BB,0)),"")</f>
        <v/>
      </c>
      <c r="D47" s="24" t="str">
        <f t="array" ref="D47">IFERROR(INDEX(JU_Keterangan,MATCH(A47&amp;$J$2,JU_BB,0)),"")</f>
        <v/>
      </c>
      <c r="E47" s="25" t="str">
        <f t="array" ref="E47">IFERROR(INDEX(JU_Debet,MATCH(A47&amp;$J$2,JU_BB,0)),"")</f>
        <v/>
      </c>
      <c r="F47" s="25" t="str">
        <f t="array" ref="F47">IFERROR(INDEX(JU_Kredit,MATCH(A47&amp;$J$2,JU_BB,0)),"")</f>
        <v/>
      </c>
      <c r="G47" s="25" t="str">
        <f t="shared" si="1"/>
        <v/>
      </c>
      <c r="H47" s="7">
        <f t="shared" si="0"/>
        <v>0</v>
      </c>
      <c r="I47" s="7" t="s">
        <v>64</v>
      </c>
      <c r="J47" s="7"/>
      <c r="K47" s="7"/>
      <c r="L47" s="7"/>
      <c r="M47" s="7"/>
    </row>
    <row r="48" spans="1:13" ht="15.75" customHeight="1" x14ac:dyDescent="0.2">
      <c r="A48" s="7">
        <f t="shared" si="2"/>
        <v>38</v>
      </c>
      <c r="B48" s="30" t="str">
        <f t="array" ref="B48">IFERROR(INDEX(JU_Tanggal,MATCH(A48&amp;$J$2,JU_BB,0)),"")</f>
        <v/>
      </c>
      <c r="C48" s="24" t="str">
        <f t="array" ref="C48">IFERROR(INDEX(JU_REF,MATCH(A48&amp;$J$2,JU_BB,0)),"")</f>
        <v/>
      </c>
      <c r="D48" s="24" t="str">
        <f t="array" ref="D48">IFERROR(INDEX(JU_Keterangan,MATCH(A48&amp;$J$2,JU_BB,0)),"")</f>
        <v/>
      </c>
      <c r="E48" s="25" t="str">
        <f t="array" ref="E48">IFERROR(INDEX(JU_Debet,MATCH(A48&amp;$J$2,JU_BB,0)),"")</f>
        <v/>
      </c>
      <c r="F48" s="25" t="str">
        <f t="array" ref="F48">IFERROR(INDEX(JU_Kredit,MATCH(A48&amp;$J$2,JU_BB,0)),"")</f>
        <v/>
      </c>
      <c r="G48" s="25" t="str">
        <f t="shared" si="1"/>
        <v/>
      </c>
      <c r="H48" s="7">
        <f t="shared" si="0"/>
        <v>0</v>
      </c>
      <c r="I48" s="7" t="s">
        <v>60</v>
      </c>
      <c r="J48" s="7"/>
      <c r="K48" s="7"/>
      <c r="L48" s="7"/>
      <c r="M48" s="7"/>
    </row>
    <row r="49" spans="1:13" ht="15.75" customHeight="1" x14ac:dyDescent="0.2">
      <c r="A49" s="7">
        <f t="shared" si="2"/>
        <v>39</v>
      </c>
      <c r="B49" s="30" t="str">
        <f t="array" ref="B49">IFERROR(INDEX(JU_Tanggal,MATCH(A49&amp;$J$2,JU_BB,0)),"")</f>
        <v/>
      </c>
      <c r="C49" s="24" t="str">
        <f t="array" ref="C49">IFERROR(INDEX(JU_REF,MATCH(A49&amp;$J$2,JU_BB,0)),"")</f>
        <v/>
      </c>
      <c r="D49" s="24" t="str">
        <f t="array" ref="D49">IFERROR(INDEX(JU_Keterangan,MATCH(A49&amp;$J$2,JU_BB,0)),"")</f>
        <v/>
      </c>
      <c r="E49" s="25" t="str">
        <f t="array" ref="E49">IFERROR(INDEX(JU_Debet,MATCH(A49&amp;$J$2,JU_BB,0)),"")</f>
        <v/>
      </c>
      <c r="F49" s="25" t="str">
        <f t="array" ref="F49">IFERROR(INDEX(JU_Kredit,MATCH(A49&amp;$J$2,JU_BB,0)),"")</f>
        <v/>
      </c>
      <c r="G49" s="25" t="str">
        <f t="shared" si="1"/>
        <v/>
      </c>
      <c r="H49" s="7">
        <f t="shared" si="0"/>
        <v>0</v>
      </c>
      <c r="I49" s="7" t="s">
        <v>63</v>
      </c>
      <c r="J49" s="7"/>
      <c r="K49" s="7"/>
      <c r="L49" s="7"/>
      <c r="M49" s="7"/>
    </row>
    <row r="50" spans="1:13" ht="15.75" customHeight="1" x14ac:dyDescent="0.2">
      <c r="A50" s="7">
        <f t="shared" si="2"/>
        <v>40</v>
      </c>
      <c r="B50" s="30" t="str">
        <f t="array" ref="B50">IFERROR(INDEX(JU_Tanggal,MATCH(A50&amp;$J$2,JU_BB,0)),"")</f>
        <v/>
      </c>
      <c r="C50" s="24" t="str">
        <f t="array" ref="C50">IFERROR(INDEX(JU_REF,MATCH(A50&amp;$J$2,JU_BB,0)),"")</f>
        <v/>
      </c>
      <c r="D50" s="24" t="str">
        <f t="array" ref="D50">IFERROR(INDEX(JU_Keterangan,MATCH(A50&amp;$J$2,JU_BB,0)),"")</f>
        <v/>
      </c>
      <c r="E50" s="25" t="str">
        <f t="array" ref="E50">IFERROR(INDEX(JU_Debet,MATCH(A50&amp;$J$2,JU_BB,0)),"")</f>
        <v/>
      </c>
      <c r="F50" s="25" t="str">
        <f t="array" ref="F50">IFERROR(INDEX(JU_Kredit,MATCH(A50&amp;$J$2,JU_BB,0)),"")</f>
        <v/>
      </c>
      <c r="G50" s="25" t="str">
        <f t="shared" si="1"/>
        <v/>
      </c>
      <c r="H50" s="7">
        <f t="shared" si="0"/>
        <v>0</v>
      </c>
      <c r="I50" s="7" t="s">
        <v>60</v>
      </c>
      <c r="J50" s="7"/>
      <c r="K50" s="7"/>
      <c r="L50" s="7"/>
      <c r="M50" s="7"/>
    </row>
    <row r="51" spans="1:13" ht="15.75" customHeight="1" x14ac:dyDescent="0.2">
      <c r="A51" s="7">
        <f t="shared" si="2"/>
        <v>41</v>
      </c>
      <c r="B51" s="30" t="str">
        <f t="array" ref="B51">IFERROR(INDEX(JU_Tanggal,MATCH(A51&amp;$J$2,JU_BB,0)),"")</f>
        <v/>
      </c>
      <c r="C51" s="24" t="str">
        <f t="array" ref="C51">IFERROR(INDEX(JU_REF,MATCH(A51&amp;$J$2,JU_BB,0)),"")</f>
        <v/>
      </c>
      <c r="D51" s="24" t="str">
        <f t="array" ref="D51">IFERROR(INDEX(JU_Keterangan,MATCH(A51&amp;$J$2,JU_BB,0)),"")</f>
        <v/>
      </c>
      <c r="E51" s="25" t="str">
        <f t="array" ref="E51">IFERROR(INDEX(JU_Debet,MATCH(A51&amp;$J$2,JU_BB,0)),"")</f>
        <v/>
      </c>
      <c r="F51" s="25" t="str">
        <f t="array" ref="F51">IFERROR(INDEX(JU_Kredit,MATCH(A51&amp;$J$2,JU_BB,0)),"")</f>
        <v/>
      </c>
      <c r="G51" s="25" t="str">
        <f t="shared" si="1"/>
        <v/>
      </c>
      <c r="H51" s="7">
        <f t="shared" si="0"/>
        <v>0</v>
      </c>
      <c r="I51" s="7" t="s">
        <v>63</v>
      </c>
      <c r="J51" s="7"/>
      <c r="K51" s="7"/>
      <c r="L51" s="7"/>
      <c r="M51" s="7"/>
    </row>
    <row r="52" spans="1:13" ht="15.75" customHeight="1" x14ac:dyDescent="0.2">
      <c r="A52" s="7">
        <f t="shared" si="2"/>
        <v>42</v>
      </c>
      <c r="B52" s="30" t="str">
        <f t="array" ref="B52">IFERROR(INDEX(JU_Tanggal,MATCH(A52&amp;$J$2,JU_BB,0)),"")</f>
        <v/>
      </c>
      <c r="C52" s="24" t="str">
        <f t="array" ref="C52">IFERROR(INDEX(JU_REF,MATCH(A52&amp;$J$2,JU_BB,0)),"")</f>
        <v/>
      </c>
      <c r="D52" s="24" t="str">
        <f t="array" ref="D52">IFERROR(INDEX(JU_Keterangan,MATCH(A52&amp;$J$2,JU_BB,0)),"")</f>
        <v/>
      </c>
      <c r="E52" s="25" t="str">
        <f t="array" ref="E52">IFERROR(INDEX(JU_Debet,MATCH(A52&amp;$J$2,JU_BB,0)),"")</f>
        <v/>
      </c>
      <c r="F52" s="25" t="str">
        <f t="array" ref="F52">IFERROR(INDEX(JU_Kredit,MATCH(A52&amp;$J$2,JU_BB,0)),"")</f>
        <v/>
      </c>
      <c r="G52" s="25" t="str">
        <f t="shared" si="1"/>
        <v/>
      </c>
      <c r="H52" s="7">
        <f t="shared" si="0"/>
        <v>0</v>
      </c>
      <c r="I52" s="7" t="s">
        <v>63</v>
      </c>
      <c r="J52" s="7"/>
      <c r="K52" s="7"/>
      <c r="L52" s="7"/>
      <c r="M52" s="7"/>
    </row>
    <row r="53" spans="1:13" ht="15.75" customHeight="1" x14ac:dyDescent="0.2">
      <c r="A53" s="7">
        <f t="shared" si="2"/>
        <v>43</v>
      </c>
      <c r="B53" s="30" t="str">
        <f t="array" ref="B53">IFERROR(INDEX(JU_Tanggal,MATCH(A53&amp;$J$2,JU_BB,0)),"")</f>
        <v/>
      </c>
      <c r="C53" s="24" t="str">
        <f t="array" ref="C53">IFERROR(INDEX(JU_REF,MATCH(A53&amp;$J$2,JU_BB,0)),"")</f>
        <v/>
      </c>
      <c r="D53" s="24" t="str">
        <f t="array" ref="D53">IFERROR(INDEX(JU_Keterangan,MATCH(A53&amp;$J$2,JU_BB,0)),"")</f>
        <v/>
      </c>
      <c r="E53" s="25" t="str">
        <f t="array" ref="E53">IFERROR(INDEX(JU_Debet,MATCH(A53&amp;$J$2,JU_BB,0)),"")</f>
        <v/>
      </c>
      <c r="F53" s="25" t="str">
        <f t="array" ref="F53">IFERROR(INDEX(JU_Kredit,MATCH(A53&amp;$J$2,JU_BB,0)),"")</f>
        <v/>
      </c>
      <c r="G53" s="25" t="str">
        <f t="shared" si="1"/>
        <v/>
      </c>
      <c r="H53" s="7">
        <f t="shared" si="0"/>
        <v>0</v>
      </c>
      <c r="I53" s="7" t="s">
        <v>63</v>
      </c>
      <c r="J53" s="7"/>
      <c r="K53" s="7"/>
      <c r="L53" s="7"/>
      <c r="M53" s="7"/>
    </row>
    <row r="54" spans="1:13" ht="15.75" customHeight="1" x14ac:dyDescent="0.2">
      <c r="A54" s="7">
        <f t="shared" si="2"/>
        <v>44</v>
      </c>
      <c r="B54" s="30" t="str">
        <f t="array" ref="B54">IFERROR(INDEX(JU_Tanggal,MATCH(A54&amp;$J$2,JU_BB,0)),"")</f>
        <v/>
      </c>
      <c r="C54" s="24" t="str">
        <f t="array" ref="C54">IFERROR(INDEX(JU_REF,MATCH(A54&amp;$J$2,JU_BB,0)),"")</f>
        <v/>
      </c>
      <c r="D54" s="24" t="str">
        <f t="array" ref="D54">IFERROR(INDEX(JU_Keterangan,MATCH(A54&amp;$J$2,JU_BB,0)),"")</f>
        <v/>
      </c>
      <c r="E54" s="25" t="str">
        <f t="array" ref="E54">IFERROR(INDEX(JU_Debet,MATCH(A54&amp;$J$2,JU_BB,0)),"")</f>
        <v/>
      </c>
      <c r="F54" s="25" t="str">
        <f t="array" ref="F54">IFERROR(INDEX(JU_Kredit,MATCH(A54&amp;$J$2,JU_BB,0)),"")</f>
        <v/>
      </c>
      <c r="G54" s="25" t="str">
        <f t="shared" si="1"/>
        <v/>
      </c>
      <c r="H54" s="7">
        <f t="shared" si="0"/>
        <v>0</v>
      </c>
      <c r="I54" s="7" t="s">
        <v>60</v>
      </c>
      <c r="J54" s="7"/>
      <c r="K54" s="7"/>
      <c r="L54" s="7"/>
      <c r="M54" s="7"/>
    </row>
    <row r="55" spans="1:13" ht="15.75" customHeight="1" x14ac:dyDescent="0.2">
      <c r="A55" s="7">
        <f t="shared" si="2"/>
        <v>45</v>
      </c>
      <c r="B55" s="30" t="str">
        <f t="array" ref="B55">IFERROR(INDEX(JU_Tanggal,MATCH(A55&amp;$J$2,JU_BB,0)),"")</f>
        <v/>
      </c>
      <c r="C55" s="24" t="str">
        <f t="array" ref="C55">IFERROR(INDEX(JU_REF,MATCH(A55&amp;$J$2,JU_BB,0)),"")</f>
        <v/>
      </c>
      <c r="D55" s="24" t="str">
        <f t="array" ref="D55">IFERROR(INDEX(JU_Keterangan,MATCH(A55&amp;$J$2,JU_BB,0)),"")</f>
        <v/>
      </c>
      <c r="E55" s="25" t="str">
        <f t="array" ref="E55">IFERROR(INDEX(JU_Debet,MATCH(A55&amp;$J$2,JU_BB,0)),"")</f>
        <v/>
      </c>
      <c r="F55" s="25" t="str">
        <f t="array" ref="F55">IFERROR(INDEX(JU_Kredit,MATCH(A55&amp;$J$2,JU_BB,0)),"")</f>
        <v/>
      </c>
      <c r="G55" s="25" t="str">
        <f t="shared" si="1"/>
        <v/>
      </c>
      <c r="H55" s="7">
        <f t="shared" si="0"/>
        <v>0</v>
      </c>
      <c r="I55" s="7" t="s">
        <v>60</v>
      </c>
      <c r="J55" s="7"/>
      <c r="K55" s="7"/>
      <c r="L55" s="7"/>
      <c r="M55" s="7"/>
    </row>
    <row r="56" spans="1:13" ht="15.75" customHeight="1" x14ac:dyDescent="0.2">
      <c r="A56" s="7">
        <f t="shared" si="2"/>
        <v>46</v>
      </c>
      <c r="B56" s="30" t="str">
        <f t="array" ref="B56">IFERROR(INDEX(JU_Tanggal,MATCH(A56&amp;$J$2,JU_BB,0)),"")</f>
        <v/>
      </c>
      <c r="C56" s="24" t="str">
        <f t="array" ref="C56">IFERROR(INDEX(JU_REF,MATCH(A56&amp;$J$2,JU_BB,0)),"")</f>
        <v/>
      </c>
      <c r="D56" s="24" t="str">
        <f t="array" ref="D56">IFERROR(INDEX(JU_Keterangan,MATCH(A56&amp;$J$2,JU_BB,0)),"")</f>
        <v/>
      </c>
      <c r="E56" s="25" t="str">
        <f t="array" ref="E56">IFERROR(INDEX(JU_Debet,MATCH(A56&amp;$J$2,JU_BB,0)),"")</f>
        <v/>
      </c>
      <c r="F56" s="25" t="str">
        <f t="array" ref="F56">IFERROR(INDEX(JU_Kredit,MATCH(A56&amp;$J$2,JU_BB,0)),"")</f>
        <v/>
      </c>
      <c r="G56" s="25" t="str">
        <f t="shared" si="1"/>
        <v/>
      </c>
      <c r="H56" s="7">
        <f t="shared" si="0"/>
        <v>0</v>
      </c>
      <c r="I56" s="7" t="s">
        <v>60</v>
      </c>
      <c r="J56" s="7"/>
      <c r="K56" s="7"/>
      <c r="L56" s="7"/>
      <c r="M56" s="7"/>
    </row>
    <row r="57" spans="1:13" ht="15.75" customHeight="1" x14ac:dyDescent="0.2">
      <c r="A57" s="7">
        <f t="shared" si="2"/>
        <v>47</v>
      </c>
      <c r="B57" s="30" t="str">
        <f t="array" ref="B57">IFERROR(INDEX(JU_Tanggal,MATCH(A57&amp;$J$2,JU_BB,0)),"")</f>
        <v/>
      </c>
      <c r="C57" s="24" t="str">
        <f t="array" ref="C57">IFERROR(INDEX(JU_REF,MATCH(A57&amp;$J$2,JU_BB,0)),"")</f>
        <v/>
      </c>
      <c r="D57" s="24" t="str">
        <f t="array" ref="D57">IFERROR(INDEX(JU_Keterangan,MATCH(A57&amp;$J$2,JU_BB,0)),"")</f>
        <v/>
      </c>
      <c r="E57" s="25" t="str">
        <f t="array" ref="E57">IFERROR(INDEX(JU_Debet,MATCH(A57&amp;$J$2,JU_BB,0)),"")</f>
        <v/>
      </c>
      <c r="F57" s="25" t="str">
        <f t="array" ref="F57">IFERROR(INDEX(JU_Kredit,MATCH(A57&amp;$J$2,JU_BB,0)),"")</f>
        <v/>
      </c>
      <c r="G57" s="25" t="str">
        <f t="shared" si="1"/>
        <v/>
      </c>
      <c r="H57" s="7">
        <f t="shared" si="0"/>
        <v>0</v>
      </c>
      <c r="I57" s="7" t="s">
        <v>63</v>
      </c>
      <c r="J57" s="7"/>
      <c r="K57" s="7"/>
      <c r="L57" s="7"/>
      <c r="M57" s="7"/>
    </row>
    <row r="58" spans="1:13" ht="15.75" customHeight="1" x14ac:dyDescent="0.2">
      <c r="A58" s="7">
        <f t="shared" si="2"/>
        <v>48</v>
      </c>
      <c r="B58" s="30" t="str">
        <f t="array" ref="B58">IFERROR(INDEX(JU_Tanggal,MATCH(A58&amp;$J$2,JU_BB,0)),"")</f>
        <v/>
      </c>
      <c r="C58" s="24" t="str">
        <f t="array" ref="C58">IFERROR(INDEX(JU_REF,MATCH(A58&amp;$J$2,JU_BB,0)),"")</f>
        <v/>
      </c>
      <c r="D58" s="24" t="str">
        <f t="array" ref="D58">IFERROR(INDEX(JU_Keterangan,MATCH(A58&amp;$J$2,JU_BB,0)),"")</f>
        <v/>
      </c>
      <c r="E58" s="25" t="str">
        <f t="array" ref="E58">IFERROR(INDEX(JU_Debet,MATCH(A58&amp;$J$2,JU_BB,0)),"")</f>
        <v/>
      </c>
      <c r="F58" s="25" t="str">
        <f t="array" ref="F58">IFERROR(INDEX(JU_Kredit,MATCH(A58&amp;$J$2,JU_BB,0)),"")</f>
        <v/>
      </c>
      <c r="G58" s="25" t="str">
        <f t="shared" si="1"/>
        <v/>
      </c>
      <c r="H58" s="7">
        <f t="shared" si="0"/>
        <v>0</v>
      </c>
      <c r="I58" s="7" t="s">
        <v>63</v>
      </c>
      <c r="J58" s="7"/>
      <c r="K58" s="7"/>
      <c r="L58" s="7"/>
      <c r="M58" s="7"/>
    </row>
    <row r="59" spans="1:13" ht="15.75" customHeight="1" x14ac:dyDescent="0.2">
      <c r="A59" s="7">
        <f t="shared" si="2"/>
        <v>49</v>
      </c>
      <c r="B59" s="30" t="str">
        <f t="array" ref="B59">IFERROR(INDEX(JU_Tanggal,MATCH(A59&amp;$J$2,JU_BB,0)),"")</f>
        <v/>
      </c>
      <c r="C59" s="24" t="str">
        <f t="array" ref="C59">IFERROR(INDEX(JU_REF,MATCH(A59&amp;$J$2,JU_BB,0)),"")</f>
        <v/>
      </c>
      <c r="D59" s="24" t="str">
        <f t="array" ref="D59">IFERROR(INDEX(JU_Keterangan,MATCH(A59&amp;$J$2,JU_BB,0)),"")</f>
        <v/>
      </c>
      <c r="E59" s="25" t="str">
        <f t="array" ref="E59">IFERROR(INDEX(JU_Debet,MATCH(A59&amp;$J$2,JU_BB,0)),"")</f>
        <v/>
      </c>
      <c r="F59" s="25" t="str">
        <f t="array" ref="F59">IFERROR(INDEX(JU_Kredit,MATCH(A59&amp;$J$2,JU_BB,0)),"")</f>
        <v/>
      </c>
      <c r="G59" s="25" t="str">
        <f t="shared" si="1"/>
        <v/>
      </c>
      <c r="H59" s="7">
        <f t="shared" si="0"/>
        <v>0</v>
      </c>
      <c r="I59" s="7" t="s">
        <v>61</v>
      </c>
      <c r="J59" s="7"/>
      <c r="K59" s="7"/>
      <c r="L59" s="7"/>
      <c r="M59" s="7"/>
    </row>
    <row r="60" spans="1:13" ht="15.75" customHeight="1" x14ac:dyDescent="0.2">
      <c r="A60" s="7">
        <f t="shared" si="2"/>
        <v>50</v>
      </c>
      <c r="B60" s="30" t="str">
        <f t="array" ref="B60">IFERROR(INDEX(JU_Tanggal,MATCH(A60&amp;$J$2,JU_BB,0)),"")</f>
        <v/>
      </c>
      <c r="C60" s="24" t="str">
        <f t="array" ref="C60">IFERROR(INDEX(JU_REF,MATCH(A60&amp;$J$2,JU_BB,0)),"")</f>
        <v/>
      </c>
      <c r="D60" s="24" t="str">
        <f t="array" ref="D60">IFERROR(INDEX(JU_Keterangan,MATCH(A60&amp;$J$2,JU_BB,0)),"")</f>
        <v/>
      </c>
      <c r="E60" s="25" t="str">
        <f t="array" ref="E60">IFERROR(INDEX(JU_Debet,MATCH(A60&amp;$J$2,JU_BB,0)),"")</f>
        <v/>
      </c>
      <c r="F60" s="25" t="str">
        <f t="array" ref="F60">IFERROR(INDEX(JU_Kredit,MATCH(A60&amp;$J$2,JU_BB,0)),"")</f>
        <v/>
      </c>
      <c r="G60" s="25" t="str">
        <f t="shared" si="1"/>
        <v/>
      </c>
      <c r="H60" s="7">
        <f t="shared" si="0"/>
        <v>0</v>
      </c>
      <c r="I60" s="7" t="s">
        <v>60</v>
      </c>
      <c r="J60" s="7"/>
      <c r="K60" s="7"/>
      <c r="L60" s="7"/>
      <c r="M60" s="7"/>
    </row>
    <row r="61" spans="1:13" ht="15.75" customHeight="1" x14ac:dyDescent="0.2">
      <c r="A61" s="7">
        <f t="shared" si="2"/>
        <v>51</v>
      </c>
      <c r="B61" s="30" t="str">
        <f t="array" ref="B61">IFERROR(INDEX(JU_Tanggal,MATCH(A61&amp;$J$2,JU_BB,0)),"")</f>
        <v/>
      </c>
      <c r="C61" s="24" t="str">
        <f t="array" ref="C61">IFERROR(INDEX(JU_REF,MATCH(A61&amp;$J$2,JU_BB,0)),"")</f>
        <v/>
      </c>
      <c r="D61" s="24" t="str">
        <f t="array" ref="D61">IFERROR(INDEX(JU_Keterangan,MATCH(A61&amp;$J$2,JU_BB,0)),"")</f>
        <v/>
      </c>
      <c r="E61" s="25" t="str">
        <f t="array" ref="E61">IFERROR(INDEX(JU_Debet,MATCH(A61&amp;$J$2,JU_BB,0)),"")</f>
        <v/>
      </c>
      <c r="F61" s="25" t="str">
        <f t="array" ref="F61">IFERROR(INDEX(JU_Kredit,MATCH(A61&amp;$J$2,JU_BB,0)),"")</f>
        <v/>
      </c>
      <c r="G61" s="25" t="str">
        <f t="shared" si="1"/>
        <v/>
      </c>
      <c r="H61" s="7">
        <f t="shared" si="0"/>
        <v>0</v>
      </c>
      <c r="I61" s="7" t="s">
        <v>60</v>
      </c>
      <c r="J61" s="7"/>
      <c r="K61" s="7"/>
      <c r="L61" s="7"/>
      <c r="M61" s="7"/>
    </row>
    <row r="62" spans="1:13" ht="15.75" customHeight="1" x14ac:dyDescent="0.2">
      <c r="A62" s="7">
        <f t="shared" si="2"/>
        <v>52</v>
      </c>
      <c r="B62" s="30" t="str">
        <f t="array" ref="B62">IFERROR(INDEX(JU_Tanggal,MATCH(A62&amp;$J$2,JU_BB,0)),"")</f>
        <v/>
      </c>
      <c r="C62" s="24" t="str">
        <f t="array" ref="C62">IFERROR(INDEX(JU_REF,MATCH(A62&amp;$J$2,JU_BB,0)),"")</f>
        <v/>
      </c>
      <c r="D62" s="24" t="str">
        <f t="array" ref="D62">IFERROR(INDEX(JU_Keterangan,MATCH(A62&amp;$J$2,JU_BB,0)),"")</f>
        <v/>
      </c>
      <c r="E62" s="25" t="str">
        <f t="array" ref="E62">IFERROR(INDEX(JU_Debet,MATCH(A62&amp;$J$2,JU_BB,0)),"")</f>
        <v/>
      </c>
      <c r="F62" s="25" t="str">
        <f t="array" ref="F62">IFERROR(INDEX(JU_Kredit,MATCH(A62&amp;$J$2,JU_BB,0)),"")</f>
        <v/>
      </c>
      <c r="G62" s="25" t="str">
        <f t="shared" si="1"/>
        <v/>
      </c>
      <c r="H62" s="7">
        <f t="shared" si="0"/>
        <v>0</v>
      </c>
      <c r="I62" s="7" t="s">
        <v>60</v>
      </c>
      <c r="J62" s="7"/>
      <c r="K62" s="7"/>
      <c r="L62" s="7"/>
      <c r="M62" s="7"/>
    </row>
    <row r="63" spans="1:13" ht="15.75" customHeight="1" x14ac:dyDescent="0.2">
      <c r="A63" s="7">
        <f t="shared" si="2"/>
        <v>53</v>
      </c>
      <c r="B63" s="30" t="str">
        <f t="array" ref="B63">IFERROR(INDEX(JU_Tanggal,MATCH(A63&amp;$J$2,JU_BB,0)),"")</f>
        <v/>
      </c>
      <c r="C63" s="24" t="str">
        <f t="array" ref="C63">IFERROR(INDEX(JU_REF,MATCH(A63&amp;$J$2,JU_BB,0)),"")</f>
        <v/>
      </c>
      <c r="D63" s="24" t="str">
        <f t="array" ref="D63">IFERROR(INDEX(JU_Keterangan,MATCH(A63&amp;$J$2,JU_BB,0)),"")</f>
        <v/>
      </c>
      <c r="E63" s="25" t="str">
        <f t="array" ref="E63">IFERROR(INDEX(JU_Debet,MATCH(A63&amp;$J$2,JU_BB,0)),"")</f>
        <v/>
      </c>
      <c r="F63" s="25" t="str">
        <f t="array" ref="F63">IFERROR(INDEX(JU_Kredit,MATCH(A63&amp;$J$2,JU_BB,0)),"")</f>
        <v/>
      </c>
      <c r="G63" s="25" t="str">
        <f t="shared" si="1"/>
        <v/>
      </c>
      <c r="H63" s="7">
        <f t="shared" si="0"/>
        <v>0</v>
      </c>
      <c r="I63" s="7" t="s">
        <v>64</v>
      </c>
      <c r="J63" s="7"/>
      <c r="K63" s="7"/>
      <c r="L63" s="7"/>
      <c r="M63" s="7"/>
    </row>
    <row r="64" spans="1:13" ht="15.75" customHeight="1" x14ac:dyDescent="0.2">
      <c r="A64" s="7">
        <f t="shared" si="2"/>
        <v>54</v>
      </c>
      <c r="B64" s="30" t="str">
        <f t="array" ref="B64">IFERROR(INDEX(JU_Tanggal,MATCH(A64&amp;$J$2,JU_BB,0)),"")</f>
        <v/>
      </c>
      <c r="C64" s="24" t="str">
        <f t="array" ref="C64">IFERROR(INDEX(JU_REF,MATCH(A64&amp;$J$2,JU_BB,0)),"")</f>
        <v/>
      </c>
      <c r="D64" s="24" t="str">
        <f t="array" ref="D64">IFERROR(INDEX(JU_Keterangan,MATCH(A64&amp;$J$2,JU_BB,0)),"")</f>
        <v/>
      </c>
      <c r="E64" s="25" t="str">
        <f t="array" ref="E64">IFERROR(INDEX(JU_Debet,MATCH(A64&amp;$J$2,JU_BB,0)),"")</f>
        <v/>
      </c>
      <c r="F64" s="25" t="str">
        <f t="array" ref="F64">IFERROR(INDEX(JU_Kredit,MATCH(A64&amp;$J$2,JU_BB,0)),"")</f>
        <v/>
      </c>
      <c r="G64" s="25" t="str">
        <f t="shared" si="1"/>
        <v/>
      </c>
      <c r="H64" s="7">
        <f t="shared" si="0"/>
        <v>0</v>
      </c>
      <c r="I64" s="7" t="s">
        <v>60</v>
      </c>
      <c r="J64" s="7"/>
      <c r="K64" s="7"/>
      <c r="L64" s="7"/>
      <c r="M64" s="7"/>
    </row>
    <row r="65" spans="1:13" ht="15.75" customHeight="1" x14ac:dyDescent="0.2">
      <c r="A65" s="7">
        <f t="shared" si="2"/>
        <v>55</v>
      </c>
      <c r="B65" s="30" t="str">
        <f t="array" ref="B65">IFERROR(INDEX(JU_Tanggal,MATCH(A65&amp;$J$2,JU_BB,0)),"")</f>
        <v/>
      </c>
      <c r="C65" s="24" t="str">
        <f t="array" ref="C65">IFERROR(INDEX(JU_REF,MATCH(A65&amp;$J$2,JU_BB,0)),"")</f>
        <v/>
      </c>
      <c r="D65" s="24" t="str">
        <f t="array" ref="D65">IFERROR(INDEX(JU_Keterangan,MATCH(A65&amp;$J$2,JU_BB,0)),"")</f>
        <v/>
      </c>
      <c r="E65" s="25" t="str">
        <f t="array" ref="E65">IFERROR(INDEX(JU_Debet,MATCH(A65&amp;$J$2,JU_BB,0)),"")</f>
        <v/>
      </c>
      <c r="F65" s="25" t="str">
        <f t="array" ref="F65">IFERROR(INDEX(JU_Kredit,MATCH(A65&amp;$J$2,JU_BB,0)),"")</f>
        <v/>
      </c>
      <c r="G65" s="25" t="str">
        <f t="shared" si="1"/>
        <v/>
      </c>
      <c r="H65" s="7">
        <f t="shared" si="0"/>
        <v>0</v>
      </c>
      <c r="I65" s="7" t="s">
        <v>60</v>
      </c>
      <c r="J65" s="7"/>
      <c r="K65" s="7"/>
      <c r="L65" s="7"/>
      <c r="M65" s="7"/>
    </row>
    <row r="66" spans="1:13" ht="15.75" customHeight="1" x14ac:dyDescent="0.2">
      <c r="A66" s="7">
        <f t="shared" si="2"/>
        <v>56</v>
      </c>
      <c r="B66" s="30" t="str">
        <f t="array" ref="B66">IFERROR(INDEX(JU_Tanggal,MATCH(A66&amp;$J$2,JU_BB,0)),"")</f>
        <v/>
      </c>
      <c r="C66" s="24" t="str">
        <f t="array" ref="C66">IFERROR(INDEX(JU_REF,MATCH(A66&amp;$J$2,JU_BB,0)),"")</f>
        <v/>
      </c>
      <c r="D66" s="24" t="str">
        <f t="array" ref="D66">IFERROR(INDEX(JU_Keterangan,MATCH(A66&amp;$J$2,JU_BB,0)),"")</f>
        <v/>
      </c>
      <c r="E66" s="25" t="str">
        <f t="array" ref="E66">IFERROR(INDEX(JU_Debet,MATCH(A66&amp;$J$2,JU_BB,0)),"")</f>
        <v/>
      </c>
      <c r="F66" s="25" t="str">
        <f t="array" ref="F66">IFERROR(INDEX(JU_Kredit,MATCH(A66&amp;$J$2,JU_BB,0)),"")</f>
        <v/>
      </c>
      <c r="G66" s="25" t="str">
        <f t="shared" si="1"/>
        <v/>
      </c>
      <c r="H66" s="7">
        <f t="shared" si="0"/>
        <v>0</v>
      </c>
      <c r="I66" s="7" t="s">
        <v>60</v>
      </c>
      <c r="J66" s="7"/>
      <c r="K66" s="7"/>
      <c r="L66" s="7"/>
      <c r="M66" s="7"/>
    </row>
    <row r="67" spans="1:13" ht="15.75" customHeight="1" x14ac:dyDescent="0.2">
      <c r="A67" s="7">
        <f t="shared" si="2"/>
        <v>57</v>
      </c>
      <c r="B67" s="30" t="str">
        <f t="array" ref="B67">IFERROR(INDEX(JU_Tanggal,MATCH(A67&amp;$J$2,JU_BB,0)),"")</f>
        <v/>
      </c>
      <c r="C67" s="24" t="str">
        <f t="array" ref="C67">IFERROR(INDEX(JU_REF,MATCH(A67&amp;$J$2,JU_BB,0)),"")</f>
        <v/>
      </c>
      <c r="D67" s="24" t="str">
        <f t="array" ref="D67">IFERROR(INDEX(JU_Keterangan,MATCH(A67&amp;$J$2,JU_BB,0)),"")</f>
        <v/>
      </c>
      <c r="E67" s="25" t="str">
        <f t="array" ref="E67">IFERROR(INDEX(JU_Debet,MATCH(A67&amp;$J$2,JU_BB,0)),"")</f>
        <v/>
      </c>
      <c r="F67" s="25" t="str">
        <f t="array" ref="F67">IFERROR(INDEX(JU_Kredit,MATCH(A67&amp;$J$2,JU_BB,0)),"")</f>
        <v/>
      </c>
      <c r="G67" s="25" t="str">
        <f t="shared" si="1"/>
        <v/>
      </c>
      <c r="H67" s="7">
        <f t="shared" si="0"/>
        <v>0</v>
      </c>
      <c r="I67" s="7" t="s">
        <v>63</v>
      </c>
      <c r="J67" s="7"/>
      <c r="K67" s="7"/>
      <c r="L67" s="7"/>
      <c r="M67" s="7"/>
    </row>
    <row r="68" spans="1:13" ht="15.75" customHeight="1" x14ac:dyDescent="0.2">
      <c r="A68" s="7">
        <f t="shared" si="2"/>
        <v>58</v>
      </c>
      <c r="B68" s="30" t="str">
        <f t="array" ref="B68">IFERROR(INDEX(JU_Tanggal,MATCH(A68&amp;$J$2,JU_BB,0)),"")</f>
        <v/>
      </c>
      <c r="C68" s="24" t="str">
        <f t="array" ref="C68">IFERROR(INDEX(JU_REF,MATCH(A68&amp;$J$2,JU_BB,0)),"")</f>
        <v/>
      </c>
      <c r="D68" s="24" t="str">
        <f t="array" ref="D68">IFERROR(INDEX(JU_Keterangan,MATCH(A68&amp;$J$2,JU_BB,0)),"")</f>
        <v/>
      </c>
      <c r="E68" s="25" t="str">
        <f t="array" ref="E68">IFERROR(INDEX(JU_Debet,MATCH(A68&amp;$J$2,JU_BB,0)),"")</f>
        <v/>
      </c>
      <c r="F68" s="25" t="str">
        <f t="array" ref="F68">IFERROR(INDEX(JU_Kredit,MATCH(A68&amp;$J$2,JU_BB,0)),"")</f>
        <v/>
      </c>
      <c r="G68" s="25" t="str">
        <f t="shared" si="1"/>
        <v/>
      </c>
      <c r="H68" s="7">
        <f t="shared" si="0"/>
        <v>0</v>
      </c>
      <c r="I68" s="7" t="s">
        <v>63</v>
      </c>
      <c r="J68" s="7"/>
      <c r="K68" s="7"/>
      <c r="L68" s="7"/>
      <c r="M68" s="7"/>
    </row>
    <row r="69" spans="1:13" ht="15.75" customHeight="1" x14ac:dyDescent="0.2">
      <c r="A69" s="7">
        <f t="shared" si="2"/>
        <v>59</v>
      </c>
      <c r="B69" s="30" t="str">
        <f t="array" ref="B69">IFERROR(INDEX(JU_Tanggal,MATCH(A69&amp;$J$2,JU_BB,0)),"")</f>
        <v/>
      </c>
      <c r="C69" s="24" t="str">
        <f t="array" ref="C69">IFERROR(INDEX(JU_REF,MATCH(A69&amp;$J$2,JU_BB,0)),"")</f>
        <v/>
      </c>
      <c r="D69" s="24" t="str">
        <f t="array" ref="D69">IFERROR(INDEX(JU_Keterangan,MATCH(A69&amp;$J$2,JU_BB,0)),"")</f>
        <v/>
      </c>
      <c r="E69" s="25" t="str">
        <f t="array" ref="E69">IFERROR(INDEX(JU_Debet,MATCH(A69&amp;$J$2,JU_BB,0)),"")</f>
        <v/>
      </c>
      <c r="F69" s="25" t="str">
        <f t="array" ref="F69">IFERROR(INDEX(JU_Kredit,MATCH(A69&amp;$J$2,JU_BB,0)),"")</f>
        <v/>
      </c>
      <c r="G69" s="25" t="str">
        <f t="shared" si="1"/>
        <v/>
      </c>
      <c r="H69" s="7">
        <f t="shared" si="0"/>
        <v>0</v>
      </c>
      <c r="I69" s="7" t="s">
        <v>60</v>
      </c>
      <c r="J69" s="7"/>
      <c r="K69" s="7"/>
      <c r="L69" s="7"/>
      <c r="M69" s="7"/>
    </row>
    <row r="70" spans="1:13" ht="15.75" customHeight="1" x14ac:dyDescent="0.2">
      <c r="A70" s="7">
        <f t="shared" si="2"/>
        <v>60</v>
      </c>
      <c r="B70" s="32" t="str">
        <f t="array" ref="B70">IFERROR(INDEX(JU_Tanggal,MATCH(A70&amp;$J$2,JU_BB,0)),"")</f>
        <v/>
      </c>
      <c r="C70" s="33" t="str">
        <f t="array" ref="C70">IFERROR(INDEX(JU_REF,MATCH(A70&amp;$J$2,JU_BB,0)),"")</f>
        <v/>
      </c>
      <c r="D70" s="33" t="str">
        <f t="array" ref="D70">IFERROR(INDEX(JU_Keterangan,MATCH(A70&amp;$J$2,JU_BB,0)),"")</f>
        <v/>
      </c>
      <c r="E70" s="34" t="str">
        <f t="array" ref="E70">IFERROR(INDEX(JU_Debet,MATCH(A70&amp;$J$2,JU_BB,0)),"")</f>
        <v/>
      </c>
      <c r="F70" s="34" t="str">
        <f t="array" ref="F70">IFERROR(INDEX(JU_Kredit,MATCH(A70&amp;$J$2,JU_BB,0)),"")</f>
        <v/>
      </c>
      <c r="G70" s="34" t="str">
        <f t="shared" si="1"/>
        <v/>
      </c>
      <c r="H70" s="7">
        <f t="shared" si="0"/>
        <v>0</v>
      </c>
      <c r="I70" s="7" t="s">
        <v>63</v>
      </c>
      <c r="J70" s="7"/>
      <c r="K70" s="7"/>
      <c r="L70" s="7"/>
      <c r="M70" s="7"/>
    </row>
    <row r="71" spans="1:13" ht="15.75" customHeight="1" x14ac:dyDescent="0.2">
      <c r="A71" s="7">
        <f t="shared" si="2"/>
        <v>61</v>
      </c>
      <c r="B71" s="30" t="str">
        <f t="array" ref="B71">IFERROR(INDEX(JU_Tanggal,MATCH(A71&amp;$J$2,JU_BB,0)),"")</f>
        <v/>
      </c>
      <c r="C71" s="24" t="str">
        <f t="array" ref="C71">IFERROR(INDEX(JU_REF,MATCH(A71&amp;$J$2,JU_BB,0)),"")</f>
        <v/>
      </c>
      <c r="D71" s="24" t="str">
        <f t="array" ref="D71">IFERROR(INDEX(JU_Keterangan,MATCH(A71&amp;$J$2,JU_BB,0)),"")</f>
        <v/>
      </c>
      <c r="E71" s="25" t="str">
        <f t="array" ref="E71">IFERROR(INDEX(JU_Debet,MATCH(A71&amp;$J$2,JU_BB,0)),"")</f>
        <v/>
      </c>
      <c r="F71" s="25" t="str">
        <f t="array" ref="F71">IFERROR(INDEX(JU_Kredit,MATCH(A71&amp;$J$2,JU_BB,0)),"")</f>
        <v/>
      </c>
      <c r="G71" s="25" t="str">
        <f t="shared" si="1"/>
        <v/>
      </c>
      <c r="H71" s="7">
        <f t="shared" si="0"/>
        <v>0</v>
      </c>
      <c r="I71" s="7" t="s">
        <v>60</v>
      </c>
      <c r="J71" s="7"/>
      <c r="K71" s="7"/>
      <c r="L71" s="7"/>
      <c r="M71" s="7"/>
    </row>
    <row r="72" spans="1:13" ht="15.75" customHeight="1" x14ac:dyDescent="0.2">
      <c r="A72" s="7">
        <f t="shared" si="2"/>
        <v>62</v>
      </c>
      <c r="B72" s="30" t="str">
        <f t="array" ref="B72">IFERROR(INDEX(JU_Tanggal,MATCH(A72&amp;$J$2,JU_BB,0)),"")</f>
        <v/>
      </c>
      <c r="C72" s="24" t="str">
        <f t="array" ref="C72">IFERROR(INDEX(JU_REF,MATCH(A72&amp;$J$2,JU_BB,0)),"")</f>
        <v/>
      </c>
      <c r="D72" s="24" t="str">
        <f t="array" ref="D72">IFERROR(INDEX(JU_Keterangan,MATCH(A72&amp;$J$2,JU_BB,0)),"")</f>
        <v/>
      </c>
      <c r="E72" s="25" t="str">
        <f t="array" ref="E72">IFERROR(INDEX(JU_Debet,MATCH(A72&amp;$J$2,JU_BB,0)),"")</f>
        <v/>
      </c>
      <c r="F72" s="25" t="str">
        <f t="array" ref="F72">IFERROR(INDEX(JU_Kredit,MATCH(A72&amp;$J$2,JU_BB,0)),"")</f>
        <v/>
      </c>
      <c r="G72" s="25" t="str">
        <f t="shared" si="1"/>
        <v/>
      </c>
      <c r="H72" s="7">
        <f t="shared" si="0"/>
        <v>0</v>
      </c>
      <c r="I72" s="7" t="s">
        <v>64</v>
      </c>
      <c r="J72" s="7"/>
      <c r="K72" s="7"/>
      <c r="L72" s="7"/>
      <c r="M72" s="7"/>
    </row>
    <row r="73" spans="1:13" ht="15.75" customHeight="1" x14ac:dyDescent="0.2">
      <c r="A73" s="7">
        <f t="shared" si="2"/>
        <v>63</v>
      </c>
      <c r="B73" s="30" t="str">
        <f t="array" ref="B73">IFERROR(INDEX(JU_Tanggal,MATCH(A73&amp;$J$2,JU_BB,0)),"")</f>
        <v/>
      </c>
      <c r="C73" s="24" t="str">
        <f t="array" ref="C73">IFERROR(INDEX(JU_REF,MATCH(A73&amp;$J$2,JU_BB,0)),"")</f>
        <v/>
      </c>
      <c r="D73" s="24" t="str">
        <f t="array" ref="D73">IFERROR(INDEX(JU_Keterangan,MATCH(A73&amp;$J$2,JU_BB,0)),"")</f>
        <v/>
      </c>
      <c r="E73" s="25" t="str">
        <f t="array" ref="E73">IFERROR(INDEX(JU_Debet,MATCH(A73&amp;$J$2,JU_BB,0)),"")</f>
        <v/>
      </c>
      <c r="F73" s="25" t="str">
        <f t="array" ref="F73">IFERROR(INDEX(JU_Kredit,MATCH(A73&amp;$J$2,JU_BB,0)),"")</f>
        <v/>
      </c>
      <c r="G73" s="25" t="str">
        <f t="shared" si="1"/>
        <v/>
      </c>
      <c r="H73" s="7">
        <f t="shared" si="0"/>
        <v>0</v>
      </c>
      <c r="I73" s="7" t="s">
        <v>60</v>
      </c>
      <c r="J73" s="7"/>
      <c r="K73" s="7"/>
      <c r="L73" s="7"/>
      <c r="M73" s="7"/>
    </row>
    <row r="74" spans="1:13" ht="15.75" customHeight="1" x14ac:dyDescent="0.2">
      <c r="A74" s="7"/>
      <c r="B74" s="39" t="str">
        <f t="array" ref="B74">IFERROR(INDEX(JU_Tanggal,MATCH(A74&amp;$J$2,JU_BB,0)),"")</f>
        <v/>
      </c>
      <c r="C74" s="7" t="str">
        <f t="array" ref="C74">IFERROR(INDEX(JU_REF,MATCH(A74&amp;$J$2,JU_BB,0)),"")</f>
        <v/>
      </c>
      <c r="D74" s="7" t="str">
        <f t="array" ref="D74">IFERROR(INDEX(JU_Keterangan,MATCH(A74&amp;$J$2,JU_BB,0)),"")</f>
        <v/>
      </c>
      <c r="E74" s="31" t="str">
        <f t="array" ref="E74">IFERROR(INDEX(JU_Debet,MATCH(A74&amp;$J$2,JU_BB,0)),"")</f>
        <v/>
      </c>
      <c r="F74" s="31" t="str">
        <f t="array" ref="F74">IFERROR(INDEX(JU_Kredit,MATCH(A74&amp;$J$2,JU_BB,0)),"")</f>
        <v/>
      </c>
      <c r="G74" s="31"/>
      <c r="H74" s="7">
        <f t="shared" si="0"/>
        <v>0</v>
      </c>
    </row>
    <row r="75" spans="1:13" ht="15.75" customHeight="1" x14ac:dyDescent="0.2">
      <c r="A75" s="7"/>
      <c r="B75" s="39" t="str">
        <f t="array" ref="B75">IFERROR(INDEX(JU_Tanggal,MATCH(A75&amp;$J$2,JU_BB,0)),"")</f>
        <v/>
      </c>
      <c r="C75" s="7" t="str">
        <f t="array" ref="C75">IFERROR(INDEX(JU_REF,MATCH(A75&amp;$J$2,JU_BB,0)),"")</f>
        <v/>
      </c>
      <c r="D75" s="7" t="str">
        <f t="array" ref="D75">IFERROR(INDEX(JU_Keterangan,MATCH(A75&amp;$J$2,JU_BB,0)),"")</f>
        <v/>
      </c>
      <c r="E75" s="31" t="str">
        <f t="array" ref="E75">IFERROR(INDEX(JU_Debet,MATCH(A75&amp;$J$2,JU_BB,0)),"")</f>
        <v/>
      </c>
      <c r="F75" s="31" t="str">
        <f t="array" ref="F75">IFERROR(INDEX(JU_Kredit,MATCH(A75&amp;$J$2,JU_BB,0)),"")</f>
        <v/>
      </c>
      <c r="G75" s="31"/>
      <c r="H75" s="7">
        <f t="shared" si="0"/>
        <v>0</v>
      </c>
    </row>
    <row r="76" spans="1:13" ht="15.75" customHeight="1" x14ac:dyDescent="0.2">
      <c r="A76" s="7"/>
      <c r="B76" s="39" t="str">
        <f t="array" ref="B76">IFERROR(INDEX(JU_Tanggal,MATCH(A76&amp;$J$2,JU_BB,0)),"")</f>
        <v/>
      </c>
      <c r="C76" s="7" t="str">
        <f t="array" ref="C76">IFERROR(INDEX(JU_REF,MATCH(A76&amp;$J$2,JU_BB,0)),"")</f>
        <v/>
      </c>
      <c r="D76" s="7" t="str">
        <f t="array" ref="D76">IFERROR(INDEX(JU_Keterangan,MATCH(A76&amp;$J$2,JU_BB,0)),"")</f>
        <v/>
      </c>
      <c r="E76" s="31" t="str">
        <f t="array" ref="E76">IFERROR(INDEX(JU_Debet,MATCH(A76&amp;$J$2,JU_BB,0)),"")</f>
        <v/>
      </c>
      <c r="F76" s="31" t="str">
        <f t="array" ref="F76">IFERROR(INDEX(JU_Kredit,MATCH(A76&amp;$J$2,JU_BB,0)),"")</f>
        <v/>
      </c>
      <c r="G76" s="7"/>
      <c r="H76" s="7">
        <f t="shared" si="0"/>
        <v>0</v>
      </c>
    </row>
    <row r="77" spans="1:13" ht="15.75" customHeight="1" x14ac:dyDescent="0.2">
      <c r="A77" s="7"/>
      <c r="B77" s="39" t="str">
        <f t="array" ref="B77">IFERROR(INDEX(JU_Tanggal,MATCH(A77&amp;$J$2,JU_BB,0)),"")</f>
        <v/>
      </c>
      <c r="C77" s="7" t="str">
        <f t="array" ref="C77">IFERROR(INDEX(JU_REF,MATCH(A77&amp;$J$2,JU_BB,0)),"")</f>
        <v/>
      </c>
      <c r="D77" s="7" t="str">
        <f t="array" ref="D77">IFERROR(INDEX(JU_Keterangan,MATCH(A77&amp;$J$2,JU_BB,0)),"")</f>
        <v/>
      </c>
      <c r="E77" s="31" t="str">
        <f t="array" ref="E77">IFERROR(INDEX(JU_Debet,MATCH(A77&amp;$J$2,JU_BB,0)),"")</f>
        <v/>
      </c>
      <c r="F77" s="31" t="str">
        <f t="array" ref="F77">IFERROR(INDEX(JU_Kredit,MATCH(A77&amp;$J$2,JU_BB,0)),"")</f>
        <v/>
      </c>
      <c r="G77" s="7"/>
      <c r="H77" s="7">
        <f t="shared" si="0"/>
        <v>0</v>
      </c>
    </row>
    <row r="78" spans="1:13" ht="15.75" customHeight="1" x14ac:dyDescent="0.2">
      <c r="A78" s="7"/>
      <c r="B78" s="39" t="str">
        <f t="array" ref="B78">IFERROR(INDEX(JU_Tanggal,MATCH(A78&amp;$J$2,JU_BB,0)),"")</f>
        <v/>
      </c>
      <c r="C78" s="7" t="str">
        <f t="array" ref="C78">IFERROR(INDEX(JU_REF,MATCH(A78&amp;$J$2,JU_BB,0)),"")</f>
        <v/>
      </c>
      <c r="D78" s="7" t="str">
        <f t="array" ref="D78">IFERROR(INDEX(JU_Keterangan,MATCH(A78&amp;$J$2,JU_BB,0)),"")</f>
        <v/>
      </c>
      <c r="E78" s="31" t="str">
        <f t="array" ref="E78">IFERROR(INDEX(JU_Debet,MATCH(A78&amp;$J$2,JU_BB,0)),"")</f>
        <v/>
      </c>
      <c r="F78" s="31" t="str">
        <f t="array" ref="F78">IFERROR(INDEX(JU_Kredit,MATCH(A78&amp;$J$2,JU_BB,0)),"")</f>
        <v/>
      </c>
      <c r="G78" s="31"/>
      <c r="H78" s="7">
        <f t="shared" si="0"/>
        <v>0</v>
      </c>
    </row>
    <row r="79" spans="1:13" ht="15.75" customHeight="1" x14ac:dyDescent="0.2">
      <c r="A79" s="7"/>
      <c r="B79" s="39" t="str">
        <f t="array" ref="B79">IFERROR(INDEX(JU_Tanggal,MATCH(A79&amp;$J$2,JU_BB,0)),"")</f>
        <v/>
      </c>
      <c r="C79" s="7" t="str">
        <f t="array" ref="C79">IFERROR(INDEX(JU_REF,MATCH(A79&amp;$J$2,JU_BB,0)),"")</f>
        <v/>
      </c>
      <c r="D79" s="7" t="str">
        <f t="array" ref="D79">IFERROR(INDEX(JU_Keterangan,MATCH(A79&amp;$J$2,JU_BB,0)),"")</f>
        <v/>
      </c>
      <c r="E79" s="31" t="str">
        <f t="array" ref="E79">IFERROR(INDEX(JU_Debet,MATCH(A79&amp;$J$2,JU_BB,0)),"")</f>
        <v/>
      </c>
      <c r="F79" s="31" t="str">
        <f t="array" ref="F79">IFERROR(INDEX(JU_Kredit,MATCH(A79&amp;$J$2,JU_BB,0)),"")</f>
        <v/>
      </c>
      <c r="G79" s="31"/>
      <c r="H79" s="7">
        <f t="shared" si="0"/>
        <v>0</v>
      </c>
    </row>
    <row r="80" spans="1:13" ht="15.75" customHeight="1" x14ac:dyDescent="0.2">
      <c r="A80" s="7"/>
      <c r="B80" s="39" t="str">
        <f t="array" ref="B80">IFERROR(INDEX(JU_Tanggal,MATCH(A80&amp;$J$2,JU_BB,0)),"")</f>
        <v/>
      </c>
      <c r="C80" s="7" t="str">
        <f t="array" ref="C80">IFERROR(INDEX(JU_REF,MATCH(A80&amp;$J$2,JU_BB,0)),"")</f>
        <v/>
      </c>
      <c r="D80" s="7" t="str">
        <f t="array" ref="D80">IFERROR(INDEX(JU_Keterangan,MATCH(A80&amp;$J$2,JU_BB,0)),"")</f>
        <v/>
      </c>
      <c r="E80" s="31" t="str">
        <f t="array" ref="E80">IFERROR(INDEX(JU_Debet,MATCH(A80&amp;$J$2,JU_BB,0)),"")</f>
        <v/>
      </c>
      <c r="F80" s="31" t="str">
        <f t="array" ref="F80">IFERROR(INDEX(JU_Kredit,MATCH(A80&amp;$J$2,JU_BB,0)),"")</f>
        <v/>
      </c>
      <c r="G80" s="31"/>
      <c r="H80" s="7">
        <f t="shared" si="0"/>
        <v>0</v>
      </c>
    </row>
    <row r="81" spans="1:8" ht="15.75" customHeight="1" x14ac:dyDescent="0.2">
      <c r="A81" s="7"/>
      <c r="B81" s="39" t="str">
        <f t="array" ref="B81">IFERROR(INDEX(JU_Tanggal,MATCH(A81&amp;$J$2,JU_BB,0)),"")</f>
        <v/>
      </c>
      <c r="C81" s="7" t="str">
        <f t="array" ref="C81">IFERROR(INDEX(JU_REF,MATCH(A81&amp;$J$2,JU_BB,0)),"")</f>
        <v/>
      </c>
      <c r="D81" s="7" t="str">
        <f t="array" ref="D81">IFERROR(INDEX(JU_Keterangan,MATCH(A81&amp;$J$2,JU_BB,0)),"")</f>
        <v/>
      </c>
      <c r="E81" s="31" t="str">
        <f t="array" ref="E81">IFERROR(INDEX(JU_Debet,MATCH(A81&amp;$J$2,JU_BB,0)),"")</f>
        <v/>
      </c>
      <c r="F81" s="31" t="str">
        <f t="array" ref="F81">IFERROR(INDEX(JU_Kredit,MATCH(A81&amp;$J$2,JU_BB,0)),"")</f>
        <v/>
      </c>
      <c r="G81" s="31" t="str">
        <f>IFERROR(IF($H$4="Debet",#REF!+E81-F81,#REF!+F81-E81),"")</f>
        <v/>
      </c>
      <c r="H81" s="7">
        <f t="shared" si="0"/>
        <v>0</v>
      </c>
    </row>
    <row r="82" spans="1:8" ht="15.75" customHeight="1" x14ac:dyDescent="0.2">
      <c r="A82" s="7"/>
      <c r="B82" s="39" t="str">
        <f t="array" ref="B82">IFERROR(INDEX(JU_Tanggal,MATCH(A82&amp;$J$2,JU_BB,0)),"")</f>
        <v/>
      </c>
      <c r="C82" s="7" t="str">
        <f t="array" ref="C82">IFERROR(INDEX(JU_REF,MATCH(A82&amp;$J$2,JU_BB,0)),"")</f>
        <v/>
      </c>
      <c r="D82" s="7" t="str">
        <f t="array" ref="D82">IFERROR(INDEX(JU_Keterangan,MATCH(A82&amp;$J$2,JU_BB,0)),"")</f>
        <v/>
      </c>
      <c r="E82" s="31" t="str">
        <f t="array" ref="E82">IFERROR(INDEX(JU_Debet,MATCH(A82&amp;$J$2,JU_BB,0)),"")</f>
        <v/>
      </c>
      <c r="F82" s="31" t="str">
        <f t="array" ref="F82">IFERROR(INDEX(JU_Kredit,MATCH(A82&amp;$J$2,JU_BB,0)),"")</f>
        <v/>
      </c>
      <c r="G82" s="31"/>
      <c r="H82" s="7">
        <f t="shared" si="0"/>
        <v>0</v>
      </c>
    </row>
    <row r="83" spans="1:8" ht="15.75" customHeight="1" x14ac:dyDescent="0.2">
      <c r="A83" s="7"/>
      <c r="B83" s="39" t="str">
        <f t="array" ref="B83">IFERROR(INDEX(JU_Tanggal,MATCH(A83&amp;$J$2,JU_BB,0)),"")</f>
        <v/>
      </c>
      <c r="C83" s="7" t="str">
        <f t="array" ref="C83">IFERROR(INDEX(JU_REF,MATCH(A83&amp;$J$2,JU_BB,0)),"")</f>
        <v/>
      </c>
      <c r="D83" s="7" t="str">
        <f t="array" ref="D83">IFERROR(INDEX(JU_Keterangan,MATCH(A83&amp;$J$2,JU_BB,0)),"")</f>
        <v/>
      </c>
      <c r="E83" s="31" t="str">
        <f t="array" ref="E83">IFERROR(INDEX(JU_Debet,MATCH(A83&amp;$J$2,JU_BB,0)),"")</f>
        <v/>
      </c>
      <c r="F83" s="31" t="str">
        <f t="array" ref="F83">IFERROR(INDEX(JU_Kredit,MATCH(A83&amp;$J$2,JU_BB,0)),"")</f>
        <v/>
      </c>
      <c r="G83" s="31"/>
      <c r="H83" s="7">
        <f t="shared" si="0"/>
        <v>0</v>
      </c>
    </row>
    <row r="84" spans="1:8" ht="15.75" customHeight="1" x14ac:dyDescent="0.2">
      <c r="A84" s="7"/>
      <c r="B84" s="39" t="str">
        <f t="array" ref="B84">IFERROR(INDEX(JU_Tanggal,MATCH(A84&amp;$J$2,JU_BB,0)),"")</f>
        <v/>
      </c>
      <c r="C84" s="7" t="str">
        <f t="array" ref="C84">IFERROR(INDEX(JU_REF,MATCH(A84&amp;$J$2,JU_BB,0)),"")</f>
        <v/>
      </c>
      <c r="D84" s="7" t="str">
        <f t="array" ref="D84">IFERROR(INDEX(JU_Keterangan,MATCH(A84&amp;$J$2,JU_BB,0)),"")</f>
        <v/>
      </c>
      <c r="E84" s="31" t="str">
        <f t="array" ref="E84">IFERROR(INDEX(JU_Debet,MATCH(A84&amp;$J$2,JU_BB,0)),"")</f>
        <v/>
      </c>
      <c r="F84" s="31" t="str">
        <f t="array" ref="F84">IFERROR(INDEX(JU_Kredit,MATCH(A84&amp;$J$2,JU_BB,0)),"")</f>
        <v/>
      </c>
      <c r="G84" s="31"/>
      <c r="H84" s="7">
        <f t="shared" si="0"/>
        <v>0</v>
      </c>
    </row>
    <row r="85" spans="1:8" ht="15.75" customHeight="1" x14ac:dyDescent="0.2">
      <c r="A85" s="7"/>
      <c r="B85" s="39" t="str">
        <f t="array" ref="B85">IFERROR(INDEX(JU_Tanggal,MATCH(A85&amp;$J$2,JU_BB,0)),"")</f>
        <v/>
      </c>
      <c r="C85" s="7" t="str">
        <f t="array" ref="C85">IFERROR(INDEX(JU_REF,MATCH(A85&amp;$J$2,JU_BB,0)),"")</f>
        <v/>
      </c>
      <c r="D85" s="7" t="str">
        <f t="array" ref="D85">IFERROR(INDEX(JU_Keterangan,MATCH(A85&amp;$J$2,JU_BB,0)),"")</f>
        <v/>
      </c>
      <c r="E85" s="31" t="str">
        <f t="array" ref="E85">IFERROR(INDEX(JU_Debet,MATCH(A85&amp;$J$2,JU_BB,0)),"")</f>
        <v/>
      </c>
      <c r="F85" s="31" t="str">
        <f t="array" ref="F85">IFERROR(INDEX(JU_Kredit,MATCH(A85&amp;$J$2,JU_BB,0)),"")</f>
        <v/>
      </c>
      <c r="G85" s="31"/>
      <c r="H85" s="7">
        <f t="shared" si="0"/>
        <v>0</v>
      </c>
    </row>
    <row r="86" spans="1:8" ht="15.75" customHeight="1" x14ac:dyDescent="0.2">
      <c r="A86" s="7"/>
      <c r="B86" s="39" t="str">
        <f t="array" ref="B86">IFERROR(INDEX(JU_Tanggal,MATCH(A86&amp;$J$2,JU_BB,0)),"")</f>
        <v/>
      </c>
      <c r="C86" s="7" t="str">
        <f t="array" ref="C86">IFERROR(INDEX(JU_REF,MATCH(A86&amp;$J$2,JU_BB,0)),"")</f>
        <v/>
      </c>
      <c r="D86" s="7" t="str">
        <f t="array" ref="D86">IFERROR(INDEX(JU_Keterangan,MATCH(A86&amp;$J$2,JU_BB,0)),"")</f>
        <v/>
      </c>
      <c r="E86" s="31" t="str">
        <f t="array" ref="E86">IFERROR(INDEX(JU_Debet,MATCH(A86&amp;$J$2,JU_BB,0)),"")</f>
        <v/>
      </c>
      <c r="F86" s="31" t="str">
        <f t="array" ref="F86">IFERROR(INDEX(JU_Kredit,MATCH(A86&amp;$J$2,JU_BB,0)),"")</f>
        <v/>
      </c>
      <c r="G86" s="31"/>
      <c r="H86" s="7">
        <f t="shared" si="0"/>
        <v>0</v>
      </c>
    </row>
    <row r="87" spans="1:8" ht="15.75" customHeight="1" x14ac:dyDescent="0.2">
      <c r="A87" s="7"/>
      <c r="B87" s="39" t="str">
        <f t="array" ref="B87">IFERROR(INDEX(JU_Tanggal,MATCH(A87&amp;$J$2,JU_BB,0)),"")</f>
        <v/>
      </c>
      <c r="C87" s="7" t="str">
        <f t="array" ref="C87">IFERROR(INDEX(JU_REF,MATCH(A87&amp;$J$2,JU_BB,0)),"")</f>
        <v/>
      </c>
      <c r="D87" s="7" t="str">
        <f t="array" ref="D87">IFERROR(INDEX(JU_Keterangan,MATCH(A87&amp;$J$2,JU_BB,0)),"")</f>
        <v/>
      </c>
      <c r="E87" s="31" t="str">
        <f t="array" ref="E87">IFERROR(INDEX(JU_Debet,MATCH(A87&amp;$J$2,JU_BB,0)),"")</f>
        <v/>
      </c>
      <c r="F87" s="31" t="str">
        <f t="array" ref="F87">IFERROR(INDEX(JU_Kredit,MATCH(A87&amp;$J$2,JU_BB,0)),"")</f>
        <v/>
      </c>
      <c r="G87" s="31"/>
      <c r="H87" s="7">
        <f t="shared" si="0"/>
        <v>0</v>
      </c>
    </row>
    <row r="88" spans="1:8" ht="15.75" customHeight="1" x14ac:dyDescent="0.2">
      <c r="A88" s="7"/>
      <c r="B88" s="39" t="str">
        <f t="array" ref="B88">IFERROR(INDEX(JU_Tanggal,MATCH(A88&amp;$J$2,JU_BB,0)),"")</f>
        <v/>
      </c>
      <c r="C88" s="7" t="str">
        <f t="array" ref="C88">IFERROR(INDEX(JU_REF,MATCH(A88&amp;$J$2,JU_BB,0)),"")</f>
        <v/>
      </c>
      <c r="D88" s="7" t="str">
        <f t="array" ref="D88">IFERROR(INDEX(JU_Keterangan,MATCH(A88&amp;$J$2,JU_BB,0)),"")</f>
        <v/>
      </c>
      <c r="E88" s="31" t="str">
        <f t="array" ref="E88">IFERROR(INDEX(JU_Debet,MATCH(A88&amp;$J$2,JU_BB,0)),"")</f>
        <v/>
      </c>
      <c r="F88" s="31" t="str">
        <f t="array" ref="F88">IFERROR(INDEX(JU_Kredit,MATCH(A88&amp;$J$2,JU_BB,0)),"")</f>
        <v/>
      </c>
      <c r="G88" s="31"/>
      <c r="H88" s="7">
        <f t="shared" si="0"/>
        <v>0</v>
      </c>
    </row>
    <row r="89" spans="1:8" ht="15.75" customHeight="1" x14ac:dyDescent="0.2">
      <c r="A89" s="7"/>
      <c r="B89" s="39" t="str">
        <f t="array" ref="B89">IFERROR(INDEX(JU_Tanggal,MATCH(A89&amp;$J$2,JU_BB,0)),"")</f>
        <v/>
      </c>
      <c r="C89" s="7" t="str">
        <f t="array" ref="C89">IFERROR(INDEX(JU_REF,MATCH(A89&amp;$J$2,JU_BB,0)),"")</f>
        <v/>
      </c>
      <c r="D89" s="7" t="str">
        <f t="array" ref="D89">IFERROR(INDEX(JU_Keterangan,MATCH(A89&amp;$J$2,JU_BB,0)),"")</f>
        <v/>
      </c>
      <c r="E89" s="31" t="str">
        <f t="array" ref="E89">IFERROR(INDEX(JU_Debet,MATCH(A89&amp;$J$2,JU_BB,0)),"")</f>
        <v/>
      </c>
      <c r="F89" s="31" t="str">
        <f t="array" ref="F89">IFERROR(INDEX(JU_Kredit,MATCH(A89&amp;$J$2,JU_BB,0)),"")</f>
        <v/>
      </c>
      <c r="G89" s="31"/>
      <c r="H89" s="7">
        <f t="shared" si="0"/>
        <v>0</v>
      </c>
    </row>
    <row r="90" spans="1:8" ht="15.75" customHeight="1" x14ac:dyDescent="0.2">
      <c r="A90" s="7"/>
      <c r="B90" s="39" t="str">
        <f t="array" ref="B90">IFERROR(INDEX(JU_Tanggal,MATCH(A90&amp;$J$2,JU_BB,0)),"")</f>
        <v/>
      </c>
      <c r="C90" s="7" t="str">
        <f t="array" ref="C90">IFERROR(INDEX(JU_REF,MATCH(A90&amp;$J$2,JU_BB,0)),"")</f>
        <v/>
      </c>
      <c r="D90" s="7" t="str">
        <f t="array" ref="D90">IFERROR(INDEX(JU_Keterangan,MATCH(A90&amp;$J$2,JU_BB,0)),"")</f>
        <v/>
      </c>
      <c r="E90" s="31" t="str">
        <f t="array" ref="E90">IFERROR(INDEX(JU_Debet,MATCH(A90&amp;$J$2,JU_BB,0)),"")</f>
        <v/>
      </c>
      <c r="F90" s="31" t="str">
        <f t="array" ref="F90">IFERROR(INDEX(JU_Kredit,MATCH(A90&amp;$J$2,JU_BB,0)),"")</f>
        <v/>
      </c>
      <c r="G90" s="31"/>
      <c r="H90" s="7">
        <f t="shared" si="0"/>
        <v>0</v>
      </c>
    </row>
    <row r="91" spans="1:8" ht="15.75" customHeight="1" x14ac:dyDescent="0.2">
      <c r="A91" s="7"/>
      <c r="B91" s="7"/>
      <c r="C91" s="7"/>
      <c r="D91" s="7"/>
      <c r="E91" s="7"/>
      <c r="F91" s="7"/>
      <c r="G91" s="7"/>
      <c r="H91" s="7">
        <f t="shared" si="0"/>
        <v>0</v>
      </c>
    </row>
    <row r="92" spans="1:8" ht="15.75" customHeight="1" x14ac:dyDescent="0.2">
      <c r="H92" s="7"/>
    </row>
    <row r="93" spans="1:8" ht="15.75" customHeight="1" x14ac:dyDescent="0.2">
      <c r="H93" s="7"/>
    </row>
    <row r="94" spans="1:8" ht="15.75" customHeight="1" x14ac:dyDescent="0.2">
      <c r="H94" s="7"/>
    </row>
    <row r="95" spans="1:8" ht="15.75" customHeight="1" x14ac:dyDescent="0.2">
      <c r="H95" s="7"/>
    </row>
    <row r="96" spans="1:8" ht="15.75" customHeight="1" x14ac:dyDescent="0.2">
      <c r="H96" s="7"/>
    </row>
    <row r="97" spans="8:8" ht="15.75" customHeight="1" x14ac:dyDescent="0.2">
      <c r="H97" s="7"/>
    </row>
    <row r="98" spans="8:8" ht="15.75" customHeight="1" x14ac:dyDescent="0.15"/>
    <row r="99" spans="8:8" ht="15.75" customHeight="1" x14ac:dyDescent="0.15"/>
    <row r="100" spans="8:8" ht="15.75" customHeight="1" x14ac:dyDescent="0.15"/>
    <row r="101" spans="8:8" ht="15.75" customHeight="1" x14ac:dyDescent="0.15"/>
    <row r="102" spans="8:8" ht="15.75" customHeight="1" x14ac:dyDescent="0.15"/>
    <row r="103" spans="8:8" ht="15.75" customHeight="1" x14ac:dyDescent="0.15"/>
    <row r="104" spans="8:8" ht="15.75" customHeight="1" x14ac:dyDescent="0.15"/>
    <row r="105" spans="8:8" ht="15.75" customHeight="1" x14ac:dyDescent="0.15"/>
    <row r="106" spans="8:8" ht="15.75" customHeight="1" x14ac:dyDescent="0.15"/>
    <row r="107" spans="8:8" ht="15.75" customHeight="1" x14ac:dyDescent="0.15"/>
    <row r="108" spans="8:8" ht="15.75" customHeight="1" x14ac:dyDescent="0.15"/>
    <row r="109" spans="8:8" ht="15.75" customHeight="1" x14ac:dyDescent="0.15"/>
    <row r="110" spans="8:8" ht="15.75" customHeight="1" x14ac:dyDescent="0.15"/>
    <row r="111" spans="8:8" ht="15.75" customHeight="1" x14ac:dyDescent="0.15"/>
    <row r="112" spans="8:8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H9:H91" xr:uid="{00000000-0009-0000-0000-000004000000}"/>
  <mergeCells count="13">
    <mergeCell ref="G9:G10"/>
    <mergeCell ref="B2:G2"/>
    <mergeCell ref="B3:G3"/>
    <mergeCell ref="B4:G4"/>
    <mergeCell ref="B6:C6"/>
    <mergeCell ref="D6:E6"/>
    <mergeCell ref="B7:C7"/>
    <mergeCell ref="D7:E7"/>
    <mergeCell ref="B9:B10"/>
    <mergeCell ref="C9:C10"/>
    <mergeCell ref="D9:D10"/>
    <mergeCell ref="E9:E10"/>
    <mergeCell ref="F9:F10"/>
  </mergeCells>
  <dataValidations count="1">
    <dataValidation type="list" allowBlank="1" showErrorMessage="1" sqref="J2" xr:uid="{00000000-0002-0000-0400-000000000000}">
      <formula1>KODEAKUN</formula1>
    </dataValidation>
  </dataValidation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80"/>
  <sheetViews>
    <sheetView topLeftCell="B71" workbookViewId="0">
      <selection activeCell="L58" sqref="L58"/>
    </sheetView>
  </sheetViews>
  <sheetFormatPr baseColWidth="10" defaultColWidth="12.6640625" defaultRowHeight="15" customHeight="1" outlineLevelRow="1" outlineLevelCol="1" x14ac:dyDescent="0.15"/>
  <cols>
    <col min="1" max="1" width="12.1640625" customWidth="1"/>
    <col min="2" max="2" width="8.6640625" customWidth="1"/>
    <col min="3" max="3" width="34.1640625" customWidth="1"/>
    <col min="4" max="4" width="48.1640625" hidden="1" customWidth="1" outlineLevel="1"/>
    <col min="5" max="5" width="13" hidden="1" customWidth="1" outlineLevel="1"/>
    <col min="6" max="6" width="10.1640625" hidden="1" customWidth="1" outlineLevel="1"/>
    <col min="7" max="7" width="19.33203125" customWidth="1" collapsed="1"/>
    <col min="8" max="8" width="19.6640625" customWidth="1"/>
    <col min="9" max="9" width="20.83203125" customWidth="1"/>
    <col min="10" max="11" width="22.1640625" customWidth="1"/>
    <col min="12" max="12" width="22.33203125" customWidth="1"/>
    <col min="13" max="13" width="22.1640625" customWidth="1"/>
    <col min="14" max="14" width="17.1640625" customWidth="1"/>
    <col min="15" max="15" width="22.1640625" customWidth="1"/>
    <col min="16" max="16" width="21" customWidth="1"/>
    <col min="17" max="17" width="1.6640625" customWidth="1"/>
    <col min="18" max="18" width="8.6640625" customWidth="1"/>
    <col min="19" max="26" width="14.33203125" customWidth="1"/>
  </cols>
  <sheetData>
    <row r="2" spans="2:18" x14ac:dyDescent="0.2">
      <c r="B2" s="232" t="str">
        <f>'BUKU BESAR'!B2:F2</f>
        <v>PT. TERANG GARAM SOLUSINDO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4"/>
    </row>
    <row r="3" spans="2:18" x14ac:dyDescent="0.2">
      <c r="B3" s="235" t="s">
        <v>66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36"/>
    </row>
    <row r="4" spans="2:18" x14ac:dyDescent="0.2">
      <c r="B4" s="237" t="str">
        <f>'BUKU BESAR'!B4:F4</f>
        <v>PERIODE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9"/>
    </row>
    <row r="6" spans="2:18" x14ac:dyDescent="0.2">
      <c r="B6" s="240" t="s">
        <v>67</v>
      </c>
      <c r="C6" s="240" t="s">
        <v>68</v>
      </c>
      <c r="D6" s="225"/>
      <c r="E6" s="225" t="s">
        <v>8</v>
      </c>
      <c r="F6" s="225" t="s">
        <v>7</v>
      </c>
      <c r="G6" s="241" t="s">
        <v>69</v>
      </c>
      <c r="H6" s="221"/>
      <c r="I6" s="241" t="s">
        <v>70</v>
      </c>
      <c r="J6" s="221"/>
      <c r="K6" s="241" t="s">
        <v>71</v>
      </c>
      <c r="L6" s="221"/>
      <c r="M6" s="241" t="s">
        <v>72</v>
      </c>
      <c r="N6" s="221"/>
      <c r="O6" s="241" t="s">
        <v>73</v>
      </c>
      <c r="P6" s="221"/>
    </row>
    <row r="7" spans="2:18" x14ac:dyDescent="0.2">
      <c r="B7" s="226"/>
      <c r="C7" s="226"/>
      <c r="D7" s="226"/>
      <c r="E7" s="226"/>
      <c r="F7" s="226"/>
      <c r="G7" s="40" t="s">
        <v>74</v>
      </c>
      <c r="H7" s="40" t="s">
        <v>75</v>
      </c>
      <c r="I7" s="40" t="s">
        <v>76</v>
      </c>
      <c r="J7" s="40" t="s">
        <v>77</v>
      </c>
      <c r="K7" s="40" t="s">
        <v>74</v>
      </c>
      <c r="L7" s="41" t="s">
        <v>6</v>
      </c>
      <c r="M7" s="40" t="s">
        <v>74</v>
      </c>
      <c r="N7" s="40" t="s">
        <v>77</v>
      </c>
      <c r="O7" s="40" t="s">
        <v>74</v>
      </c>
      <c r="P7" s="41" t="s">
        <v>77</v>
      </c>
    </row>
    <row r="8" spans="2:18" ht="17" x14ac:dyDescent="0.2">
      <c r="B8" s="42">
        <f>IF(COA!B5="","",COA!B5)</f>
        <v>1101</v>
      </c>
      <c r="C8" s="43" t="str">
        <f>IFERROR(INDEX(Nama_Akun,MATCH(B8,KODEAKUN,0)),"")</f>
        <v>Kas</v>
      </c>
      <c r="D8" s="44" t="str">
        <f t="array" ref="D8">IFERROR(INDEX(Type,MATCH(B8,KODEAKUN,0)),"")</f>
        <v>Kas</v>
      </c>
      <c r="E8" s="44" t="str">
        <f t="array" ref="E8">INDEX(Posisi,MATCH(D8,Type,0))</f>
        <v>Neraca</v>
      </c>
      <c r="F8" s="44" t="str">
        <f t="array" ref="F8">IFERROR(INDEX(SaldoNormal,MATCH(D8,Type,)),"")</f>
        <v>Debet</v>
      </c>
      <c r="G8" s="45">
        <f t="array" ref="G8">IFERROR(INDEX(COA_DEBET,MATCH(B8,KODEAKUN,0)),"")</f>
        <v>0</v>
      </c>
      <c r="H8" s="45">
        <f t="array" ref="H8">IFERROR(INDEX(COA_KREDIT,MATCH(B8,KODEAKUN,0)),"")</f>
        <v>0</v>
      </c>
      <c r="I8" s="45">
        <f t="shared" ref="I8:I115" si="0">IF(B8="","",SUMIF(JU_Kodeakun,B8,JU_Debet))</f>
        <v>0</v>
      </c>
      <c r="J8" s="45">
        <f t="shared" ref="J8:J115" si="1">IF(B8="","",SUMIF(JU_Kodeakun,B8,JU_Kredit))</f>
        <v>0</v>
      </c>
      <c r="K8" s="45">
        <f t="shared" ref="K8:K115" si="2">IF(F8="Debet",G8+I8-H8-J8,0)</f>
        <v>0</v>
      </c>
      <c r="L8" s="25">
        <f t="shared" ref="L8:L115" si="3">IF(F8="Kredit",H8+J8-G8-I8,0)</f>
        <v>0</v>
      </c>
      <c r="M8" s="45">
        <f t="shared" ref="M8:M34" si="4">IF(E8="Laba Rugi",K8,0)</f>
        <v>0</v>
      </c>
      <c r="N8" s="25">
        <f t="shared" ref="N8:N34" si="5">IF(E8="Laba Rugi",L8,0)</f>
        <v>0</v>
      </c>
      <c r="O8" s="25">
        <f t="shared" ref="O8:O34" si="6">IF(E8="Neraca",K8,0)</f>
        <v>0</v>
      </c>
      <c r="P8" s="25">
        <f t="shared" ref="P8:P34" si="7">IF(E8="Neraca",L8,0)</f>
        <v>0</v>
      </c>
      <c r="R8" s="7" t="s">
        <v>59</v>
      </c>
    </row>
    <row r="9" spans="2:18" ht="17" x14ac:dyDescent="0.2">
      <c r="B9" s="42">
        <f>IF(COA!B6="","",COA!B6)</f>
        <v>1102</v>
      </c>
      <c r="C9" s="43" t="str">
        <f t="array" ref="C9">IFERROR(INDEX(Nama_Akun,MATCH(B9,KODEAKUN,0)),"")</f>
        <v>Kas Di Bank</v>
      </c>
      <c r="D9" s="44" t="str">
        <f t="array" ref="D9">IFERROR(INDEX(Type,MATCH(B9,KODEAKUN,0)),"")</f>
        <v>Kas Di Bank</v>
      </c>
      <c r="E9" s="44" t="str">
        <f t="array" ref="E9">INDEX(Posisi,MATCH(D9,Type,0))</f>
        <v>Neraca</v>
      </c>
      <c r="F9" s="44" t="str">
        <f t="array" ref="F9">IFERROR(INDEX(SaldoNormal,MATCH(D9,Type,)),"")</f>
        <v>Debet</v>
      </c>
      <c r="G9" s="45">
        <f t="array" ref="G9">IFERROR(INDEX(COA_DEBET,MATCH(B9,KODEAKUN,0)),"")</f>
        <v>0</v>
      </c>
      <c r="H9" s="45">
        <f t="array" ref="H9">IFERROR(INDEX(COA_KREDIT,MATCH(B9,KODEAKUN,0)),"")</f>
        <v>0</v>
      </c>
      <c r="I9" s="45">
        <f t="shared" si="0"/>
        <v>0</v>
      </c>
      <c r="J9" s="45">
        <f t="shared" si="1"/>
        <v>0</v>
      </c>
      <c r="K9" s="45">
        <f t="shared" si="2"/>
        <v>0</v>
      </c>
      <c r="L9" s="25">
        <f t="shared" si="3"/>
        <v>0</v>
      </c>
      <c r="M9" s="45">
        <f t="shared" si="4"/>
        <v>0</v>
      </c>
      <c r="N9" s="25">
        <f t="shared" si="5"/>
        <v>0</v>
      </c>
      <c r="O9" s="25">
        <f t="shared" si="6"/>
        <v>0</v>
      </c>
      <c r="P9" s="25">
        <f t="shared" si="7"/>
        <v>0</v>
      </c>
      <c r="R9" s="7">
        <f t="shared" ref="R9:R10" si="8">IF(AND(G9=0,H9=0,I9=0,J9=0,K9=0,L9=0,M9=0,N9=0,O9=0,P9=0),0,1)</f>
        <v>0</v>
      </c>
    </row>
    <row r="10" spans="2:18" ht="17" x14ac:dyDescent="0.2">
      <c r="B10" s="42">
        <f>IF(COA!B7="","",COA!B7)</f>
        <v>1103</v>
      </c>
      <c r="C10" s="43" t="str">
        <f t="array" ref="C10">IFERROR(INDEX(Nama_Akun,MATCH(B10,KODEAKUN,0)),"")</f>
        <v>Petty Cash</v>
      </c>
      <c r="D10" s="44" t="str">
        <f t="array" ref="D10">IFERROR(INDEX(Type,MATCH(B10,KODEAKUN,0)),"")</f>
        <v>Petty Cash</v>
      </c>
      <c r="E10" s="44" t="str">
        <f t="array" ref="E10">INDEX(Posisi,MATCH(D10,Type,0))</f>
        <v>Neraca</v>
      </c>
      <c r="F10" s="44" t="str">
        <f t="array" ref="F10">IFERROR(INDEX(SaldoNormal,MATCH(D10,Type,)),"")</f>
        <v>Debet</v>
      </c>
      <c r="G10" s="45">
        <f t="array" ref="G10">IFERROR(INDEX(COA_DEBET,MATCH(B10,KODEAKUN,0)),"")</f>
        <v>0</v>
      </c>
      <c r="H10" s="45">
        <f t="array" ref="H10">IFERROR(INDEX(COA_KREDIT,MATCH(B10,KODEAKUN,0)),"")</f>
        <v>0</v>
      </c>
      <c r="I10" s="45">
        <f t="shared" si="0"/>
        <v>0</v>
      </c>
      <c r="J10" s="45">
        <f t="shared" si="1"/>
        <v>0</v>
      </c>
      <c r="K10" s="45">
        <f t="shared" si="2"/>
        <v>0</v>
      </c>
      <c r="L10" s="25">
        <f t="shared" si="3"/>
        <v>0</v>
      </c>
      <c r="M10" s="45">
        <f t="shared" si="4"/>
        <v>0</v>
      </c>
      <c r="N10" s="25">
        <f t="shared" si="5"/>
        <v>0</v>
      </c>
      <c r="O10" s="25">
        <f t="shared" si="6"/>
        <v>0</v>
      </c>
      <c r="P10" s="25">
        <f t="shared" si="7"/>
        <v>0</v>
      </c>
      <c r="R10" s="7">
        <f t="shared" si="8"/>
        <v>0</v>
      </c>
    </row>
    <row r="11" spans="2:18" ht="17" x14ac:dyDescent="0.2">
      <c r="B11" s="42">
        <f>IF(COA!B8="","",COA!B8)</f>
        <v>1104</v>
      </c>
      <c r="C11" s="43" t="str">
        <f t="array" ref="C11">IFERROR(INDEX(Nama_Akun,MATCH(B11,KODEAKUN,0)),"")</f>
        <v>Piutang</v>
      </c>
      <c r="D11" s="44" t="str">
        <f t="array" ref="D11">IFERROR(INDEX(Type,MATCH(B11,KODEAKUN,0)),"")</f>
        <v>Piutang</v>
      </c>
      <c r="E11" s="44" t="str">
        <f t="array" ref="E11">INDEX(Posisi,MATCH(D11,Type,0))</f>
        <v>Neraca</v>
      </c>
      <c r="F11" s="44" t="str">
        <f t="array" ref="F11">IFERROR(INDEX(SaldoNormal,MATCH(D11,Type,)),"")</f>
        <v>Debet</v>
      </c>
      <c r="G11" s="45">
        <f t="array" ref="G11">IFERROR(INDEX(COA_DEBET,MATCH(B11,KODEAKUN,0)),"")</f>
        <v>0</v>
      </c>
      <c r="H11" s="45">
        <f t="array" ref="H11">IFERROR(INDEX(COA_KREDIT,MATCH(B11,KODEAKUN,0)),"")</f>
        <v>0</v>
      </c>
      <c r="I11" s="45">
        <f t="shared" si="0"/>
        <v>0</v>
      </c>
      <c r="J11" s="45">
        <f t="shared" si="1"/>
        <v>0</v>
      </c>
      <c r="K11" s="45">
        <f t="shared" si="2"/>
        <v>0</v>
      </c>
      <c r="L11" s="25">
        <f t="shared" si="3"/>
        <v>0</v>
      </c>
      <c r="M11" s="45">
        <f t="shared" si="4"/>
        <v>0</v>
      </c>
      <c r="N11" s="25">
        <f t="shared" si="5"/>
        <v>0</v>
      </c>
      <c r="O11" s="25">
        <f t="shared" si="6"/>
        <v>0</v>
      </c>
      <c r="P11" s="25">
        <f t="shared" si="7"/>
        <v>0</v>
      </c>
      <c r="R11" s="7">
        <f t="shared" ref="R11:R19" si="9">IF(AND(G12=0,H12=0,I12=0,J12=0,K12=0,L12=0,M12=0,N12=0,O12=0,P12=0),0,1)</f>
        <v>0</v>
      </c>
    </row>
    <row r="12" spans="2:18" ht="17" x14ac:dyDescent="0.2">
      <c r="B12" s="42">
        <f>IF(COA!B9="","",COA!B9)</f>
        <v>1105</v>
      </c>
      <c r="C12" s="43" t="str">
        <f t="array" ref="C12">IFERROR(INDEX(Nama_Akun,MATCH(B12,KODEAKUN,0)),"")</f>
        <v>Persediaan</v>
      </c>
      <c r="D12" s="44" t="str">
        <f t="array" ref="D12">IFERROR(INDEX(Type,MATCH(B12,KODEAKUN,0)),"")</f>
        <v>Persediaan</v>
      </c>
      <c r="E12" s="44" t="str">
        <f t="array" ref="E12">INDEX(Posisi,MATCH(D12,Type,0))</f>
        <v>Neraca</v>
      </c>
      <c r="F12" s="44" t="str">
        <f t="array" ref="F12">IFERROR(INDEX(SaldoNormal,MATCH(D12,Type,)),"")</f>
        <v>Debet</v>
      </c>
      <c r="G12" s="45">
        <f t="array" ref="G12">IFERROR(INDEX(COA_DEBET,MATCH(B12,KODEAKUN,0)),"")</f>
        <v>0</v>
      </c>
      <c r="H12" s="45">
        <f t="array" ref="H12">IFERROR(INDEX(COA_KREDIT,MATCH(B12,KODEAKUN,0)),"")</f>
        <v>0</v>
      </c>
      <c r="I12" s="45">
        <f t="shared" si="0"/>
        <v>0</v>
      </c>
      <c r="J12" s="45">
        <f t="shared" si="1"/>
        <v>0</v>
      </c>
      <c r="K12" s="45">
        <f t="shared" si="2"/>
        <v>0</v>
      </c>
      <c r="L12" s="25">
        <f t="shared" si="3"/>
        <v>0</v>
      </c>
      <c r="M12" s="45">
        <f t="shared" si="4"/>
        <v>0</v>
      </c>
      <c r="N12" s="25">
        <f t="shared" si="5"/>
        <v>0</v>
      </c>
      <c r="O12" s="25">
        <f t="shared" si="6"/>
        <v>0</v>
      </c>
      <c r="P12" s="25">
        <f t="shared" si="7"/>
        <v>0</v>
      </c>
      <c r="R12" s="7">
        <f t="shared" si="9"/>
        <v>0</v>
      </c>
    </row>
    <row r="13" spans="2:18" ht="17" x14ac:dyDescent="0.2">
      <c r="B13" s="42">
        <f>IF(COA!B10="","",COA!B10)</f>
        <v>1106</v>
      </c>
      <c r="C13" s="43" t="str">
        <f t="array" ref="C13">IFERROR(INDEX(Nama_Akun,MATCH(B13,KODEAKUN,0)),"")</f>
        <v>Perlengkapan</v>
      </c>
      <c r="D13" s="44" t="str">
        <f t="array" ref="D13">IFERROR(INDEX(Type,MATCH(B13,KODEAKUN,0)),"")</f>
        <v>Perlengkapan</v>
      </c>
      <c r="E13" s="44" t="str">
        <f t="array" ref="E13">INDEX(Posisi,MATCH(D13,Type,0))</f>
        <v>Neraca</v>
      </c>
      <c r="F13" s="44" t="str">
        <f t="array" ref="F13">IFERROR(INDEX(SaldoNormal,MATCH(D13,Type,)),"")</f>
        <v>Debet</v>
      </c>
      <c r="G13" s="45">
        <f t="array" ref="G13">IFERROR(INDEX(COA_DEBET,MATCH(B13,KODEAKUN,0)),"")</f>
        <v>0</v>
      </c>
      <c r="H13" s="45">
        <f t="array" ref="H13">IFERROR(INDEX(COA_KREDIT,MATCH(B13,KODEAKUN,0)),"")</f>
        <v>0</v>
      </c>
      <c r="I13" s="45">
        <f t="shared" si="0"/>
        <v>0</v>
      </c>
      <c r="J13" s="45">
        <f t="shared" si="1"/>
        <v>0</v>
      </c>
      <c r="K13" s="45">
        <f t="shared" si="2"/>
        <v>0</v>
      </c>
      <c r="L13" s="25">
        <f t="shared" si="3"/>
        <v>0</v>
      </c>
      <c r="M13" s="45">
        <f t="shared" si="4"/>
        <v>0</v>
      </c>
      <c r="N13" s="25">
        <f t="shared" si="5"/>
        <v>0</v>
      </c>
      <c r="O13" s="25">
        <f t="shared" si="6"/>
        <v>0</v>
      </c>
      <c r="P13" s="25">
        <f t="shared" si="7"/>
        <v>0</v>
      </c>
      <c r="R13" s="7">
        <f t="shared" si="9"/>
        <v>1</v>
      </c>
    </row>
    <row r="14" spans="2:18" ht="20.25" customHeight="1" x14ac:dyDescent="0.2">
      <c r="B14" s="42">
        <f>IF(COA!B11="","",COA!B11)</f>
        <v>1201</v>
      </c>
      <c r="C14" s="43" t="str">
        <f t="array" ref="C14">IFERROR(INDEX(Nama_Akun,MATCH(B14,KODEAKUN,0)),"")</f>
        <v>Peralatan</v>
      </c>
      <c r="D14" s="44" t="str">
        <f t="array" ref="D14">IFERROR(INDEX(Type,MATCH(B14,KODEAKUN,0)),"")</f>
        <v>Peralatan</v>
      </c>
      <c r="E14" s="44" t="str">
        <f t="array" ref="E14">INDEX(Posisi,MATCH(D14,Type,0))</f>
        <v>Neraca</v>
      </c>
      <c r="F14" s="44" t="str">
        <f t="array" ref="F14">IFERROR(INDEX(SaldoNormal,MATCH(D14,Type,)),"")</f>
        <v>Debet</v>
      </c>
      <c r="G14" s="45">
        <f t="array" ref="G14">IFERROR(INDEX(COA_DEBET,MATCH(B14,KODEAKUN,0)),"")</f>
        <v>0</v>
      </c>
      <c r="H14" s="45">
        <f t="array" ref="H14">IFERROR(INDEX(COA_KREDIT,MATCH(B14,KODEAKUN,0)),"")</f>
        <v>0</v>
      </c>
      <c r="I14" s="45">
        <f t="shared" si="0"/>
        <v>0</v>
      </c>
      <c r="J14" s="45">
        <f t="shared" si="1"/>
        <v>515685</v>
      </c>
      <c r="K14" s="45">
        <f t="shared" si="2"/>
        <v>-515685</v>
      </c>
      <c r="L14" s="25">
        <f t="shared" si="3"/>
        <v>0</v>
      </c>
      <c r="M14" s="45">
        <f t="shared" si="4"/>
        <v>0</v>
      </c>
      <c r="N14" s="25">
        <f t="shared" si="5"/>
        <v>0</v>
      </c>
      <c r="O14" s="25">
        <f t="shared" si="6"/>
        <v>-515685</v>
      </c>
      <c r="P14" s="25">
        <f t="shared" si="7"/>
        <v>0</v>
      </c>
      <c r="R14" s="7">
        <f t="shared" si="9"/>
        <v>0</v>
      </c>
    </row>
    <row r="15" spans="2:18" ht="17" x14ac:dyDescent="0.2">
      <c r="B15" s="42">
        <f>IF(COA!B12="","",COA!B12)</f>
        <v>1202</v>
      </c>
      <c r="C15" s="43" t="str">
        <f t="array" ref="C15">IFERROR(INDEX(Nama_Akun,MATCH(B15,KODEAKUN,0)),"")</f>
        <v>Akumulasi Penyusutan Peralatan</v>
      </c>
      <c r="D15" s="44" t="str">
        <f t="array" ref="D15">IFERROR(INDEX(Type,MATCH(B15,KODEAKUN,0)),"")</f>
        <v>Akumulasi Penyusutan Peralatan</v>
      </c>
      <c r="E15" s="44" t="str">
        <f t="array" ref="E15">INDEX(Posisi,MATCH(D15,Type,0))</f>
        <v>Neraca</v>
      </c>
      <c r="F15" s="44" t="str">
        <f t="array" ref="F15">IFERROR(INDEX(SaldoNormal,MATCH(D15,Type,)),"")</f>
        <v>Kredit</v>
      </c>
      <c r="G15" s="45">
        <f t="array" ref="G15">IFERROR(INDEX(COA_DEBET,MATCH(B15,KODEAKUN,0)),"")</f>
        <v>0</v>
      </c>
      <c r="H15" s="45">
        <f t="array" ref="H15">IFERROR(INDEX(COA_KREDIT,MATCH(B15,KODEAKUN,0)),"")</f>
        <v>0</v>
      </c>
      <c r="I15" s="45">
        <f t="shared" si="0"/>
        <v>0</v>
      </c>
      <c r="J15" s="45">
        <f t="shared" si="1"/>
        <v>0</v>
      </c>
      <c r="K15" s="45">
        <f t="shared" si="2"/>
        <v>0</v>
      </c>
      <c r="L15" s="25">
        <f t="shared" si="3"/>
        <v>0</v>
      </c>
      <c r="M15" s="45">
        <f t="shared" si="4"/>
        <v>0</v>
      </c>
      <c r="N15" s="25">
        <f t="shared" si="5"/>
        <v>0</v>
      </c>
      <c r="O15" s="25">
        <f t="shared" si="6"/>
        <v>0</v>
      </c>
      <c r="P15" s="25">
        <f t="shared" si="7"/>
        <v>0</v>
      </c>
      <c r="R15" s="7">
        <f t="shared" si="9"/>
        <v>0</v>
      </c>
    </row>
    <row r="16" spans="2:18" ht="17" x14ac:dyDescent="0.2">
      <c r="B16" s="42">
        <f>IF(COA!B13="","",COA!B13)</f>
        <v>2110</v>
      </c>
      <c r="C16" s="43" t="str">
        <f t="array" ref="C16">IFERROR(INDEX(Nama_Akun,MATCH(B16,KODEAKUN,0)),"")</f>
        <v>Utang</v>
      </c>
      <c r="D16" s="44" t="str">
        <f t="array" ref="D16">IFERROR(INDEX(Type,MATCH(B16,KODEAKUN,0)),"")</f>
        <v>Utang</v>
      </c>
      <c r="E16" s="44" t="str">
        <f t="array" ref="E16">INDEX(Posisi,MATCH(D16,Type,0))</f>
        <v>Neraca</v>
      </c>
      <c r="F16" s="44" t="str">
        <f t="array" ref="F16">IFERROR(INDEX(SaldoNormal,MATCH(D16,Type,)),"")</f>
        <v>Kredit</v>
      </c>
      <c r="G16" s="45">
        <f t="array" ref="G16">IFERROR(INDEX(COA_DEBET,MATCH(B16,KODEAKUN,0)),"")</f>
        <v>0</v>
      </c>
      <c r="H16" s="45">
        <f t="array" ref="H16">IFERROR(INDEX(COA_KREDIT,MATCH(B16,KODEAKUN,0)),"")</f>
        <v>0</v>
      </c>
      <c r="I16" s="45">
        <f t="shared" si="0"/>
        <v>0</v>
      </c>
      <c r="J16" s="45">
        <f t="shared" si="1"/>
        <v>0</v>
      </c>
      <c r="K16" s="45">
        <f t="shared" si="2"/>
        <v>0</v>
      </c>
      <c r="L16" s="25">
        <f t="shared" si="3"/>
        <v>0</v>
      </c>
      <c r="M16" s="45">
        <f t="shared" si="4"/>
        <v>0</v>
      </c>
      <c r="N16" s="25">
        <f t="shared" si="5"/>
        <v>0</v>
      </c>
      <c r="O16" s="25">
        <f t="shared" si="6"/>
        <v>0</v>
      </c>
      <c r="P16" s="25">
        <f t="shared" si="7"/>
        <v>0</v>
      </c>
      <c r="R16" s="7">
        <f t="shared" si="9"/>
        <v>1</v>
      </c>
    </row>
    <row r="17" spans="2:18" ht="17" x14ac:dyDescent="0.2">
      <c r="B17" s="42">
        <f>IF(COA!B14="","",COA!B14)</f>
        <v>2120</v>
      </c>
      <c r="C17" s="43" t="str">
        <f t="array" ref="C17">IFERROR(INDEX(Nama_Akun,MATCH(B17,KODEAKUN,0)),"")</f>
        <v>Utang Gaji</v>
      </c>
      <c r="D17" s="44" t="str">
        <f t="array" ref="D17">IFERROR(INDEX(Type,MATCH(B17,KODEAKUN,0)),"")</f>
        <v>Utang Gaji</v>
      </c>
      <c r="E17" s="44" t="str">
        <f t="array" ref="E17">INDEX(Posisi,MATCH(D17,Type,0))</f>
        <v>Neraca</v>
      </c>
      <c r="F17" s="44" t="str">
        <f t="array" ref="F17">IFERROR(INDEX(SaldoNormal,MATCH(D17,Type,)),"")</f>
        <v>Kredit</v>
      </c>
      <c r="G17" s="45">
        <f t="array" ref="G17">IFERROR(INDEX(COA_DEBET,MATCH(B17,KODEAKUN,0)),"")</f>
        <v>0</v>
      </c>
      <c r="H17" s="45">
        <f t="array" ref="H17">IFERROR(INDEX(COA_KREDIT,MATCH(B17,KODEAKUN,0)),"")</f>
        <v>0</v>
      </c>
      <c r="I17" s="45">
        <f t="shared" si="0"/>
        <v>0</v>
      </c>
      <c r="J17" s="45">
        <f t="shared" si="1"/>
        <v>105901167</v>
      </c>
      <c r="K17" s="45">
        <f t="shared" si="2"/>
        <v>0</v>
      </c>
      <c r="L17" s="25">
        <f t="shared" si="3"/>
        <v>105901167</v>
      </c>
      <c r="M17" s="45">
        <f t="shared" si="4"/>
        <v>0</v>
      </c>
      <c r="N17" s="25">
        <f t="shared" si="5"/>
        <v>0</v>
      </c>
      <c r="O17" s="25">
        <f t="shared" si="6"/>
        <v>0</v>
      </c>
      <c r="P17" s="25">
        <f t="shared" si="7"/>
        <v>105901167</v>
      </c>
      <c r="R17" s="7">
        <f t="shared" si="9"/>
        <v>0</v>
      </c>
    </row>
    <row r="18" spans="2:18" ht="17.25" customHeight="1" x14ac:dyDescent="0.2">
      <c r="B18" s="42">
        <f>IF(COA!B15="","",COA!B15)</f>
        <v>2130</v>
      </c>
      <c r="C18" s="43" t="str">
        <f t="array" ref="C18">IFERROR(INDEX(Nama_Akun,MATCH(B18,KODEAKUN,0)),"")</f>
        <v>utang pajak</v>
      </c>
      <c r="D18" s="44" t="str">
        <f t="array" ref="D18">IFERROR(INDEX(Type,MATCH(B18,KODEAKUN,0)),"")</f>
        <v>utang pajak</v>
      </c>
      <c r="E18" s="44" t="str">
        <f t="array" ref="E18">INDEX(Posisi,MATCH(D18,Type,0))</f>
        <v>Neraca</v>
      </c>
      <c r="F18" s="44" t="str">
        <f t="array" ref="F18">IFERROR(INDEX(SaldoNormal,MATCH(D18,Type,)),"")</f>
        <v>Kredit</v>
      </c>
      <c r="G18" s="45">
        <f t="array" ref="G18">IFERROR(INDEX(COA_DEBET,MATCH(B18,KODEAKUN,0)),"")</f>
        <v>0</v>
      </c>
      <c r="H18" s="45">
        <f t="array" ref="H18">IFERROR(INDEX(COA_KREDIT,MATCH(B18,KODEAKUN,0)),"")</f>
        <v>0</v>
      </c>
      <c r="I18" s="45">
        <f t="shared" si="0"/>
        <v>0</v>
      </c>
      <c r="J18" s="45">
        <f t="shared" si="1"/>
        <v>0</v>
      </c>
      <c r="K18" s="45">
        <f t="shared" si="2"/>
        <v>0</v>
      </c>
      <c r="L18" s="25">
        <f t="shared" si="3"/>
        <v>0</v>
      </c>
      <c r="M18" s="45">
        <f t="shared" si="4"/>
        <v>0</v>
      </c>
      <c r="N18" s="25">
        <f t="shared" si="5"/>
        <v>0</v>
      </c>
      <c r="O18" s="25">
        <f t="shared" si="6"/>
        <v>0</v>
      </c>
      <c r="P18" s="25">
        <f t="shared" si="7"/>
        <v>0</v>
      </c>
      <c r="R18" s="7">
        <f t="shared" si="9"/>
        <v>0</v>
      </c>
    </row>
    <row r="19" spans="2:18" ht="15.75" customHeight="1" x14ac:dyDescent="0.2">
      <c r="B19" s="42">
        <f>IF(COA!B16="","",COA!B16)</f>
        <v>2140</v>
      </c>
      <c r="C19" s="43" t="str">
        <f t="array" ref="C19">IFERROR(INDEX(Nama_Akun,MATCH(B19,KODEAKUN,0)),"")</f>
        <v>utang pdam</v>
      </c>
      <c r="D19" s="44" t="str">
        <f t="array" ref="D19">IFERROR(INDEX(Type,MATCH(B19,KODEAKUN,0)),"")</f>
        <v>utang pdam</v>
      </c>
      <c r="E19" s="44" t="str">
        <f t="array" ref="E19">INDEX(Posisi,MATCH(D19,Type,0))</f>
        <v>Neraca</v>
      </c>
      <c r="F19" s="44" t="str">
        <f t="array" ref="F19">IFERROR(INDEX(SaldoNormal,MATCH(D19,Type,)),"")</f>
        <v>Kredit</v>
      </c>
      <c r="G19" s="45">
        <f t="array" ref="G19">IFERROR(INDEX(COA_DEBET,MATCH(B19,KODEAKUN,0)),"")</f>
        <v>0</v>
      </c>
      <c r="H19" s="45">
        <f t="array" ref="H19">IFERROR(INDEX(COA_KREDIT,MATCH(B19,KODEAKUN,0)),"")</f>
        <v>0</v>
      </c>
      <c r="I19" s="45">
        <f t="shared" si="0"/>
        <v>0</v>
      </c>
      <c r="J19" s="45">
        <f t="shared" si="1"/>
        <v>0</v>
      </c>
      <c r="K19" s="45">
        <f t="shared" si="2"/>
        <v>0</v>
      </c>
      <c r="L19" s="25">
        <f t="shared" si="3"/>
        <v>0</v>
      </c>
      <c r="M19" s="45">
        <f t="shared" si="4"/>
        <v>0</v>
      </c>
      <c r="N19" s="25">
        <f t="shared" si="5"/>
        <v>0</v>
      </c>
      <c r="O19" s="25">
        <f t="shared" si="6"/>
        <v>0</v>
      </c>
      <c r="P19" s="25">
        <f t="shared" si="7"/>
        <v>0</v>
      </c>
      <c r="R19" s="7">
        <f t="shared" si="9"/>
        <v>0</v>
      </c>
    </row>
    <row r="20" spans="2:18" ht="15.75" customHeight="1" x14ac:dyDescent="0.2">
      <c r="B20" s="42">
        <f>IF(COA!B17="","",COA!B17)</f>
        <v>2150</v>
      </c>
      <c r="C20" s="43" t="str">
        <f t="array" ref="C20">IFERROR(INDEX(Nama_Akun,MATCH(B20,KODEAKUN,0)),"")</f>
        <v>utang jne</v>
      </c>
      <c r="D20" s="44" t="str">
        <f t="array" ref="D20">IFERROR(INDEX(Type,MATCH(B20,KODEAKUN,0)),"")</f>
        <v>utang jne</v>
      </c>
      <c r="E20" s="44" t="str">
        <f t="array" ref="E20">INDEX(Posisi,MATCH(D20,Type,0))</f>
        <v>Neraca</v>
      </c>
      <c r="F20" s="44" t="str">
        <f t="array" ref="F20">IFERROR(INDEX(SaldoNormal,MATCH(D20,Type,)),"")</f>
        <v>Kredit</v>
      </c>
      <c r="G20" s="45">
        <f t="array" ref="G20">IFERROR(INDEX(COA_DEBET,MATCH(B20,KODEAKUN,0)),"")</f>
        <v>0</v>
      </c>
      <c r="H20" s="45">
        <f t="array" ref="H20">IFERROR(INDEX(COA_KREDIT,MATCH(B20,KODEAKUN,0)),"")</f>
        <v>0</v>
      </c>
      <c r="I20" s="45">
        <f t="shared" si="0"/>
        <v>0</v>
      </c>
      <c r="J20" s="45">
        <f t="shared" si="1"/>
        <v>0</v>
      </c>
      <c r="K20" s="45">
        <f t="shared" si="2"/>
        <v>0</v>
      </c>
      <c r="L20" s="25">
        <f t="shared" si="3"/>
        <v>0</v>
      </c>
      <c r="M20" s="45">
        <f t="shared" si="4"/>
        <v>0</v>
      </c>
      <c r="N20" s="25">
        <f t="shared" si="5"/>
        <v>0</v>
      </c>
      <c r="O20" s="25">
        <f t="shared" si="6"/>
        <v>0</v>
      </c>
      <c r="P20" s="25">
        <f t="shared" si="7"/>
        <v>0</v>
      </c>
      <c r="R20" s="7">
        <f t="shared" ref="R20:R119" si="10">IF(AND(G25=0,H25=0,I25=0,J25=0,K25=0,L25=0,M25=0,N25=0,O25=0,P25=0),0,1)</f>
        <v>1</v>
      </c>
    </row>
    <row r="21" spans="2:18" ht="19.5" customHeight="1" x14ac:dyDescent="0.2">
      <c r="B21" s="42">
        <f>IF(COA!B18="","",COA!B18)</f>
        <v>2160</v>
      </c>
      <c r="C21" s="43" t="str">
        <f t="array" ref="C21">IFERROR(INDEX(Nama_Akun,MATCH(B21,KODEAKUN,0)),"")</f>
        <v>utang pcp</v>
      </c>
      <c r="D21" s="44" t="str">
        <f t="array" ref="D21">IFERROR(INDEX(Type,MATCH(B21,KODEAKUN,0)),"")</f>
        <v>utang pcp</v>
      </c>
      <c r="E21" s="44" t="str">
        <f t="array" ref="E21">INDEX(Posisi,MATCH(D21,Type,0))</f>
        <v>Neraca</v>
      </c>
      <c r="F21" s="44" t="str">
        <f t="array" ref="F21">IFERROR(INDEX(SaldoNormal,MATCH(D21,Type,)),"")</f>
        <v>Kredit</v>
      </c>
      <c r="G21" s="45">
        <f t="array" ref="G21">IFERROR(INDEX(COA_DEBET,MATCH(B21,KODEAKUN,0)),"")</f>
        <v>0</v>
      </c>
      <c r="H21" s="45">
        <f t="array" ref="H21">IFERROR(INDEX(COA_KREDIT,MATCH(B21,KODEAKUN,0)),"")</f>
        <v>0</v>
      </c>
      <c r="I21" s="45">
        <f t="shared" si="0"/>
        <v>0</v>
      </c>
      <c r="J21" s="45">
        <f t="shared" si="1"/>
        <v>0</v>
      </c>
      <c r="K21" s="45">
        <f t="shared" si="2"/>
        <v>0</v>
      </c>
      <c r="L21" s="25">
        <f t="shared" si="3"/>
        <v>0</v>
      </c>
      <c r="M21" s="45">
        <f t="shared" si="4"/>
        <v>0</v>
      </c>
      <c r="N21" s="25">
        <f t="shared" si="5"/>
        <v>0</v>
      </c>
      <c r="O21" s="25">
        <f t="shared" si="6"/>
        <v>0</v>
      </c>
      <c r="P21" s="25">
        <f t="shared" si="7"/>
        <v>0</v>
      </c>
      <c r="R21" s="7">
        <f t="shared" si="10"/>
        <v>0</v>
      </c>
    </row>
    <row r="22" spans="2:18" ht="14.25" customHeight="1" x14ac:dyDescent="0.2">
      <c r="B22" s="42">
        <f>IF(COA!B19="","",COA!B19)</f>
        <v>3100</v>
      </c>
      <c r="C22" s="43" t="str">
        <f t="array" ref="C22">IFERROR(INDEX(Nama_Akun,MATCH(B22,KODEAKUN,0)),"")</f>
        <v>Modal</v>
      </c>
      <c r="D22" s="44" t="str">
        <f t="array" ref="D22">IFERROR(INDEX(Type,MATCH(B22,KODEAKUN,0)),"")</f>
        <v>Modal</v>
      </c>
      <c r="E22" s="44" t="str">
        <f t="array" ref="E22">INDEX(Posisi,MATCH(D22,Type,0))</f>
        <v>Neraca</v>
      </c>
      <c r="F22" s="44" t="str">
        <f t="array" ref="F22">IFERROR(INDEX(SaldoNormal,MATCH(D22,Type,)),"")</f>
        <v>Kredit</v>
      </c>
      <c r="G22" s="45">
        <f t="array" ref="G22">IFERROR(INDEX(COA_DEBET,MATCH(B22,KODEAKUN,0)),"")</f>
        <v>0</v>
      </c>
      <c r="H22" s="45">
        <f t="array" ref="H22">IFERROR(INDEX(COA_KREDIT,MATCH(B22,KODEAKUN,0)),"")</f>
        <v>0</v>
      </c>
      <c r="I22" s="45">
        <f t="shared" si="0"/>
        <v>0</v>
      </c>
      <c r="J22" s="45">
        <f t="shared" si="1"/>
        <v>0</v>
      </c>
      <c r="K22" s="45">
        <f t="shared" si="2"/>
        <v>0</v>
      </c>
      <c r="L22" s="25">
        <f t="shared" si="3"/>
        <v>0</v>
      </c>
      <c r="M22" s="45">
        <f t="shared" si="4"/>
        <v>0</v>
      </c>
      <c r="N22" s="25">
        <f t="shared" si="5"/>
        <v>0</v>
      </c>
      <c r="O22" s="25">
        <f t="shared" si="6"/>
        <v>0</v>
      </c>
      <c r="P22" s="25">
        <f t="shared" si="7"/>
        <v>0</v>
      </c>
      <c r="R22" s="7">
        <f t="shared" si="10"/>
        <v>1</v>
      </c>
    </row>
    <row r="23" spans="2:18" ht="18.75" customHeight="1" x14ac:dyDescent="0.2">
      <c r="B23" s="42">
        <f>IF(COA!B20="","",COA!B20)</f>
        <v>3110</v>
      </c>
      <c r="C23" s="43" t="str">
        <f t="array" ref="C23">IFERROR(INDEX(Nama_Akun,MATCH(B23,KODEAKUN,0)),"")</f>
        <v>Iktisar laba rugi</v>
      </c>
      <c r="D23" s="44" t="str">
        <f t="array" ref="D23">IFERROR(INDEX(Type,MATCH(B23,KODEAKUN,0)),"")</f>
        <v>Iktisar laba rugi</v>
      </c>
      <c r="E23" s="44" t="str">
        <f t="array" ref="E23">INDEX(Posisi,MATCH(D23,Type,0))</f>
        <v>Neraca</v>
      </c>
      <c r="F23" s="44" t="str">
        <f t="array" ref="F23">IFERROR(INDEX(SaldoNormal,MATCH(D23,Type,)),"")</f>
        <v>Kredit</v>
      </c>
      <c r="G23" s="45">
        <f t="array" ref="G23">IFERROR(INDEX(COA_DEBET,MATCH(B23,KODEAKUN,0)),"")</f>
        <v>0</v>
      </c>
      <c r="H23" s="45">
        <f t="array" ref="H23">IFERROR(INDEX(COA_KREDIT,MATCH(B23,KODEAKUN,0)),"")</f>
        <v>0</v>
      </c>
      <c r="I23" s="45">
        <f t="shared" si="0"/>
        <v>0</v>
      </c>
      <c r="J23" s="45">
        <f t="shared" si="1"/>
        <v>0</v>
      </c>
      <c r="K23" s="45">
        <f t="shared" si="2"/>
        <v>0</v>
      </c>
      <c r="L23" s="25">
        <f t="shared" si="3"/>
        <v>0</v>
      </c>
      <c r="M23" s="45">
        <f t="shared" si="4"/>
        <v>0</v>
      </c>
      <c r="N23" s="25">
        <f t="shared" si="5"/>
        <v>0</v>
      </c>
      <c r="O23" s="25">
        <f t="shared" si="6"/>
        <v>0</v>
      </c>
      <c r="P23" s="25">
        <f t="shared" si="7"/>
        <v>0</v>
      </c>
      <c r="R23" s="7">
        <f t="shared" si="10"/>
        <v>1</v>
      </c>
    </row>
    <row r="24" spans="2:18" ht="20.25" customHeight="1" x14ac:dyDescent="0.2">
      <c r="B24" s="42">
        <f>IF(COA!B21="","",COA!B21)</f>
        <v>4110</v>
      </c>
      <c r="C24" s="43" t="str">
        <f t="array" ref="C24">IFERROR(INDEX(Nama_Akun,MATCH(B24,KODEAKUN,0)),"")</f>
        <v>Pendapatan jasa</v>
      </c>
      <c r="D24" s="44" t="str">
        <f t="array" ref="D24">IFERROR(INDEX(Type,MATCH(B24,KODEAKUN,0)),"")</f>
        <v>Pendapatan jasa</v>
      </c>
      <c r="E24" s="44" t="str">
        <f t="array" ref="E24">INDEX(Posisi,MATCH(D24,Type,0))</f>
        <v>Laba Rugi</v>
      </c>
      <c r="F24" s="44" t="str">
        <f t="array" ref="F24">IFERROR(INDEX(SaldoNormal,MATCH(D24,Type,)),"")</f>
        <v>Kredit</v>
      </c>
      <c r="G24" s="45">
        <f t="array" ref="G24">IFERROR(INDEX(COA_DEBET,MATCH(B24,KODEAKUN,0)),"")</f>
        <v>0</v>
      </c>
      <c r="H24" s="45">
        <f t="array" ref="H24">IFERROR(INDEX(COA_KREDIT,MATCH(B24,KODEAKUN,0)),"")</f>
        <v>0</v>
      </c>
      <c r="I24" s="45">
        <f t="shared" si="0"/>
        <v>124642329</v>
      </c>
      <c r="J24" s="45">
        <f t="shared" si="1"/>
        <v>0</v>
      </c>
      <c r="K24" s="45">
        <f t="shared" si="2"/>
        <v>0</v>
      </c>
      <c r="L24" s="25">
        <f t="shared" si="3"/>
        <v>-124642329</v>
      </c>
      <c r="M24" s="45">
        <f t="shared" si="4"/>
        <v>0</v>
      </c>
      <c r="N24" s="25">
        <f t="shared" si="5"/>
        <v>-124642329</v>
      </c>
      <c r="O24" s="25">
        <f t="shared" si="6"/>
        <v>0</v>
      </c>
      <c r="P24" s="25">
        <f t="shared" si="7"/>
        <v>0</v>
      </c>
      <c r="R24" s="7">
        <f t="shared" si="10"/>
        <v>0</v>
      </c>
    </row>
    <row r="25" spans="2:18" ht="21" customHeight="1" x14ac:dyDescent="0.2">
      <c r="B25" s="42">
        <f>IF(COA!B22="","",COA!B22)</f>
        <v>4120</v>
      </c>
      <c r="C25" s="43" t="str">
        <f t="array" ref="C25">IFERROR(INDEX(Nama_Akun,MATCH(B25,KODEAKUN,0)),"")</f>
        <v>pendapatan shoepolice</v>
      </c>
      <c r="D25" s="44" t="str">
        <f t="array" ref="D25">IFERROR(INDEX(Type,MATCH(B25,KODEAKUN,0)),"")</f>
        <v>pendapatan shoepolice</v>
      </c>
      <c r="E25" s="44" t="str">
        <f t="array" ref="E25">INDEX(Posisi,MATCH(D25,Type,0))</f>
        <v>Laba Rugi</v>
      </c>
      <c r="F25" s="44" t="str">
        <f t="array" ref="F25">IFERROR(INDEX(SaldoNormal,MATCH(D25,Type,)),"")</f>
        <v>Kredit</v>
      </c>
      <c r="G25" s="45">
        <f t="array" ref="G25">IFERROR(INDEX(COA_DEBET,MATCH(B25,KODEAKUN,0)),"")</f>
        <v>0</v>
      </c>
      <c r="H25" s="45">
        <f t="array" ref="H25">IFERROR(INDEX(COA_KREDIT,MATCH(B25,KODEAKUN,0)),"")</f>
        <v>0</v>
      </c>
      <c r="I25" s="45">
        <f t="shared" si="0"/>
        <v>2000000</v>
      </c>
      <c r="J25" s="45">
        <f t="shared" si="1"/>
        <v>0</v>
      </c>
      <c r="K25" s="45">
        <f t="shared" si="2"/>
        <v>0</v>
      </c>
      <c r="L25" s="25">
        <f t="shared" si="3"/>
        <v>-2000000</v>
      </c>
      <c r="M25" s="45">
        <f t="shared" si="4"/>
        <v>0</v>
      </c>
      <c r="N25" s="25">
        <f t="shared" si="5"/>
        <v>-2000000</v>
      </c>
      <c r="O25" s="25">
        <f t="shared" si="6"/>
        <v>0</v>
      </c>
      <c r="P25" s="25">
        <f t="shared" si="7"/>
        <v>0</v>
      </c>
      <c r="R25" s="7">
        <f t="shared" si="10"/>
        <v>1</v>
      </c>
    </row>
    <row r="26" spans="2:18" ht="20.25" customHeight="1" x14ac:dyDescent="0.2">
      <c r="B26" s="42">
        <f>IF(COA!B23="","",COA!B23)</f>
        <v>4130</v>
      </c>
      <c r="C26" s="43" t="str">
        <f t="array" ref="C26">IFERROR(INDEX(Nama_Akun,MATCH(B26,KODEAKUN,0)),"")</f>
        <v>pendapatan affiliate</v>
      </c>
      <c r="D26" s="44" t="str">
        <f t="array" ref="D26">IFERROR(INDEX(Type,MATCH(B26,KODEAKUN,0)),"")</f>
        <v>pendapatan affiliate</v>
      </c>
      <c r="E26" s="44" t="str">
        <f t="array" ref="E26">INDEX(Posisi,MATCH(D26,Type,0))</f>
        <v>Laba Rugi</v>
      </c>
      <c r="F26" s="44" t="str">
        <f t="array" ref="F26">IFERROR(INDEX(SaldoNormal,MATCH(D26,Type,)),"")</f>
        <v>Kredit</v>
      </c>
      <c r="G26" s="45">
        <f t="array" ref="G26">IFERROR(INDEX(COA_DEBET,MATCH(B26,KODEAKUN,0)),"")</f>
        <v>0</v>
      </c>
      <c r="H26" s="45">
        <f t="array" ref="H26">IFERROR(INDEX(COA_KREDIT,MATCH(B26,KODEAKUN,0)),"")</f>
        <v>0</v>
      </c>
      <c r="I26" s="45">
        <f t="shared" si="0"/>
        <v>0</v>
      </c>
      <c r="J26" s="45">
        <f t="shared" si="1"/>
        <v>0</v>
      </c>
      <c r="K26" s="45">
        <f t="shared" si="2"/>
        <v>0</v>
      </c>
      <c r="L26" s="25">
        <f t="shared" si="3"/>
        <v>0</v>
      </c>
      <c r="M26" s="45">
        <f t="shared" si="4"/>
        <v>0</v>
      </c>
      <c r="N26" s="25">
        <f t="shared" si="5"/>
        <v>0</v>
      </c>
      <c r="O26" s="25">
        <f t="shared" si="6"/>
        <v>0</v>
      </c>
      <c r="P26" s="25">
        <f t="shared" si="7"/>
        <v>0</v>
      </c>
      <c r="R26" s="7">
        <f t="shared" si="10"/>
        <v>1</v>
      </c>
    </row>
    <row r="27" spans="2:18" ht="21" customHeight="1" x14ac:dyDescent="0.2">
      <c r="B27" s="42">
        <f>IF(COA!B24="","",COA!B24)</f>
        <v>4140</v>
      </c>
      <c r="C27" s="43" t="str">
        <f t="array" ref="C27">IFERROR(INDEX(Nama_Akun,MATCH(B27,KODEAKUN,0)),"")</f>
        <v>pendapatan jasa eiger</v>
      </c>
      <c r="D27" s="44" t="str">
        <f t="array" ref="D27">IFERROR(INDEX(Type,MATCH(B27,KODEAKUN,0)),"")</f>
        <v>pendapatan jasa eiger</v>
      </c>
      <c r="E27" s="44" t="str">
        <f t="array" ref="E27">INDEX(Posisi,MATCH(D27,Type,0))</f>
        <v>Laba Rugi</v>
      </c>
      <c r="F27" s="44" t="str">
        <f t="array" ref="F27">IFERROR(INDEX(SaldoNormal,MATCH(D27,Type,)),"")</f>
        <v>Kredit</v>
      </c>
      <c r="G27" s="45">
        <f t="array" ref="G27">IFERROR(INDEX(COA_DEBET,MATCH(B27,KODEAKUN,0)),"")</f>
        <v>0</v>
      </c>
      <c r="H27" s="45">
        <f t="array" ref="H27">IFERROR(INDEX(COA_KREDIT,MATCH(B27,KODEAKUN,0)),"")</f>
        <v>0</v>
      </c>
      <c r="I27" s="45">
        <f t="shared" si="0"/>
        <v>1663000</v>
      </c>
      <c r="J27" s="45">
        <f t="shared" si="1"/>
        <v>0</v>
      </c>
      <c r="K27" s="45">
        <f t="shared" si="2"/>
        <v>0</v>
      </c>
      <c r="L27" s="25">
        <f t="shared" si="3"/>
        <v>-1663000</v>
      </c>
      <c r="M27" s="45">
        <f t="shared" si="4"/>
        <v>0</v>
      </c>
      <c r="N27" s="25">
        <f t="shared" si="5"/>
        <v>-1663000</v>
      </c>
      <c r="O27" s="25">
        <f t="shared" si="6"/>
        <v>0</v>
      </c>
      <c r="P27" s="25">
        <f t="shared" si="7"/>
        <v>0</v>
      </c>
      <c r="R27" s="7">
        <f t="shared" si="10"/>
        <v>1</v>
      </c>
    </row>
    <row r="28" spans="2:18" ht="22.5" customHeight="1" x14ac:dyDescent="0.2">
      <c r="B28" s="42">
        <f>IF(COA!B25="","",COA!B25)</f>
        <v>7010</v>
      </c>
      <c r="C28" s="43" t="str">
        <f t="array" ref="C28">IFERROR(INDEX(Nama_Akun,MATCH(B28,KODEAKUN,0)),"")</f>
        <v>pendapatan lain-lain</v>
      </c>
      <c r="D28" s="44" t="str">
        <f t="array" ref="D28">IFERROR(INDEX(Type,MATCH(B28,KODEAKUN,0)),"")</f>
        <v>pendapatan lain-lain</v>
      </c>
      <c r="E28" s="44" t="str">
        <f t="array" ref="E28">INDEX(Posisi,MATCH(D28,Type,0))</f>
        <v>Laba Rugi</v>
      </c>
      <c r="F28" s="44" t="str">
        <f t="array" ref="F28">IFERROR(INDEX(SaldoNormal,MATCH(D28,Type,)),"")</f>
        <v>Kredit</v>
      </c>
      <c r="G28" s="45">
        <f t="array" ref="G28">IFERROR(INDEX(COA_DEBET,MATCH(B28,KODEAKUN,0)),"")</f>
        <v>0</v>
      </c>
      <c r="H28" s="45">
        <f t="array" ref="H28">IFERROR(INDEX(COA_KREDIT,MATCH(B28,KODEAKUN,0)),"")</f>
        <v>0</v>
      </c>
      <c r="I28" s="45">
        <f t="shared" si="0"/>
        <v>349000</v>
      </c>
      <c r="J28" s="45">
        <f t="shared" si="1"/>
        <v>0</v>
      </c>
      <c r="K28" s="45">
        <f t="shared" si="2"/>
        <v>0</v>
      </c>
      <c r="L28" s="25">
        <f t="shared" si="3"/>
        <v>-349000</v>
      </c>
      <c r="M28" s="45">
        <f t="shared" si="4"/>
        <v>0</v>
      </c>
      <c r="N28" s="25">
        <f t="shared" si="5"/>
        <v>-349000</v>
      </c>
      <c r="O28" s="25">
        <f t="shared" si="6"/>
        <v>0</v>
      </c>
      <c r="P28" s="25">
        <f t="shared" si="7"/>
        <v>0</v>
      </c>
      <c r="R28" s="7">
        <f t="shared" si="10"/>
        <v>1</v>
      </c>
    </row>
    <row r="29" spans="2:18" ht="20.25" customHeight="1" x14ac:dyDescent="0.2">
      <c r="B29" s="42">
        <f>IF(COA!B26="","",COA!B26)</f>
        <v>4160</v>
      </c>
      <c r="C29" s="43" t="str">
        <f t="array" ref="C29">IFERROR(INDEX(Nama_Akun,MATCH(B29,KODEAKUN,0)),"")</f>
        <v>pendapatan ongkir</v>
      </c>
      <c r="D29" s="44" t="str">
        <f t="array" ref="D29">IFERROR(INDEX(Type,MATCH(B29,KODEAKUN,0)),"")</f>
        <v>pendapatan ongkir</v>
      </c>
      <c r="E29" s="44" t="str">
        <f t="array" ref="E29">INDEX(Posisi,MATCH(D29,Type,0))</f>
        <v>Laba Rugi</v>
      </c>
      <c r="F29" s="44" t="str">
        <f t="array" ref="F29">IFERROR(INDEX(SaldoNormal,MATCH(D29,Type,)),"")</f>
        <v>Kredit</v>
      </c>
      <c r="G29" s="45">
        <f t="array" ref="G29">IFERROR(INDEX(COA_DEBET,MATCH(B29,KODEAKUN,0)),"")</f>
        <v>0</v>
      </c>
      <c r="H29" s="45">
        <f t="array" ref="H29">IFERROR(INDEX(COA_KREDIT,MATCH(B29,KODEAKUN,0)),"")</f>
        <v>0</v>
      </c>
      <c r="I29" s="45">
        <f t="shared" si="0"/>
        <v>0</v>
      </c>
      <c r="J29" s="45">
        <f t="shared" si="1"/>
        <v>0</v>
      </c>
      <c r="K29" s="45">
        <f t="shared" si="2"/>
        <v>0</v>
      </c>
      <c r="L29" s="25">
        <f t="shared" si="3"/>
        <v>0</v>
      </c>
      <c r="M29" s="45">
        <f t="shared" si="4"/>
        <v>0</v>
      </c>
      <c r="N29" s="25">
        <f t="shared" si="5"/>
        <v>0</v>
      </c>
      <c r="O29" s="25">
        <f t="shared" si="6"/>
        <v>0</v>
      </c>
      <c r="P29" s="25">
        <f t="shared" si="7"/>
        <v>0</v>
      </c>
      <c r="R29" s="7">
        <f t="shared" si="10"/>
        <v>1</v>
      </c>
    </row>
    <row r="30" spans="2:18" ht="18.75" customHeight="1" x14ac:dyDescent="0.2">
      <c r="B30" s="42">
        <f>IF(COA!B27="","",COA!B27)</f>
        <v>4170</v>
      </c>
      <c r="C30" s="43" t="str">
        <f t="array" ref="C30">IFERROR(INDEX(Nama_Akun,MATCH(B30,KODEAKUN,0)),"")</f>
        <v>Retur &amp; Refund</v>
      </c>
      <c r="D30" s="44" t="str">
        <f t="array" ref="D30">IFERROR(INDEX(Type,MATCH(B30,KODEAKUN,0)),"")</f>
        <v>Retur &amp; Refund</v>
      </c>
      <c r="E30" s="44" t="str">
        <f t="array" ref="E30">INDEX(Posisi,MATCH(D30,Type,0))</f>
        <v>Laba Rugi</v>
      </c>
      <c r="F30" s="44" t="str">
        <f t="array" ref="F30">IFERROR(INDEX(SaldoNormal,MATCH(D30,Type,)),"")</f>
        <v>Debet</v>
      </c>
      <c r="G30" s="45">
        <f t="array" ref="G30">IFERROR(INDEX(COA_DEBET,MATCH(B30,KODEAKUN,0)),"")</f>
        <v>0</v>
      </c>
      <c r="H30" s="45">
        <f t="array" ref="H30">IFERROR(INDEX(COA_KREDIT,MATCH(B30,KODEAKUN,0)),"")</f>
        <v>0</v>
      </c>
      <c r="I30" s="45">
        <f t="shared" si="0"/>
        <v>0</v>
      </c>
      <c r="J30" s="45">
        <f t="shared" si="1"/>
        <v>150000</v>
      </c>
      <c r="K30" s="45">
        <f t="shared" si="2"/>
        <v>-150000</v>
      </c>
      <c r="L30" s="25">
        <f t="shared" si="3"/>
        <v>0</v>
      </c>
      <c r="M30" s="45">
        <f t="shared" si="4"/>
        <v>-150000</v>
      </c>
      <c r="N30" s="25">
        <f t="shared" si="5"/>
        <v>0</v>
      </c>
      <c r="O30" s="25">
        <f t="shared" si="6"/>
        <v>0</v>
      </c>
      <c r="P30" s="25">
        <f t="shared" si="7"/>
        <v>0</v>
      </c>
      <c r="R30" s="7">
        <f t="shared" si="10"/>
        <v>0</v>
      </c>
    </row>
    <row r="31" spans="2:18" ht="15.75" customHeight="1" x14ac:dyDescent="0.2">
      <c r="B31" s="42">
        <f>IF(COA!B28="","",COA!B28)</f>
        <v>5010</v>
      </c>
      <c r="C31" s="43" t="str">
        <f t="array" ref="C31">IFERROR(INDEX(Nama_Akun,MATCH(B31,KODEAKUN,0)),"")</f>
        <v>Hpp sole</v>
      </c>
      <c r="D31" s="44" t="str">
        <f t="array" ref="D31">IFERROR(INDEX(Type,MATCH(B31,KODEAKUN,0)),"")</f>
        <v>Hpp sole</v>
      </c>
      <c r="E31" s="44" t="str">
        <f t="array" ref="E31">INDEX(Posisi,MATCH(D31,Type,0))</f>
        <v>Laba Rugi</v>
      </c>
      <c r="F31" s="44" t="str">
        <f t="array" ref="F31">IFERROR(INDEX(SaldoNormal,MATCH(D31,Type,)),"")</f>
        <v>Debet</v>
      </c>
      <c r="G31" s="45">
        <f t="array" ref="G31">IFERROR(INDEX(COA_DEBET,MATCH(B31,KODEAKUN,0)),"")</f>
        <v>0</v>
      </c>
      <c r="H31" s="45">
        <f t="array" ref="H31">IFERROR(INDEX(COA_KREDIT,MATCH(B31,KODEAKUN,0)),"")</f>
        <v>0</v>
      </c>
      <c r="I31" s="45">
        <f t="shared" si="0"/>
        <v>0</v>
      </c>
      <c r="J31" s="45">
        <f t="shared" si="1"/>
        <v>6006717</v>
      </c>
      <c r="K31" s="45">
        <f t="shared" si="2"/>
        <v>-6006717</v>
      </c>
      <c r="L31" s="25">
        <f t="shared" si="3"/>
        <v>0</v>
      </c>
      <c r="M31" s="45">
        <f t="shared" si="4"/>
        <v>-6006717</v>
      </c>
      <c r="N31" s="25">
        <f t="shared" si="5"/>
        <v>0</v>
      </c>
      <c r="O31" s="25">
        <f t="shared" si="6"/>
        <v>0</v>
      </c>
      <c r="P31" s="25">
        <f t="shared" si="7"/>
        <v>0</v>
      </c>
      <c r="R31" s="7">
        <f t="shared" si="10"/>
        <v>0</v>
      </c>
    </row>
    <row r="32" spans="2:18" ht="15.75" customHeight="1" x14ac:dyDescent="0.2">
      <c r="B32" s="42">
        <f>IF(COA!B29="","",COA!B29)</f>
        <v>5020</v>
      </c>
      <c r="C32" s="43" t="str">
        <f t="array" ref="C32">IFERROR(INDEX(Nama_Akun,MATCH(B32,KODEAKUN,0)),"")</f>
        <v>Hpp upper</v>
      </c>
      <c r="D32" s="44" t="str">
        <f t="array" ref="D32">IFERROR(INDEX(Type,MATCH(B32,KODEAKUN,0)),"")</f>
        <v>Hpp upper</v>
      </c>
      <c r="E32" s="44" t="str">
        <f t="array" ref="E32">INDEX(Posisi,MATCH(D32,Type,0))</f>
        <v>Laba Rugi</v>
      </c>
      <c r="F32" s="44" t="str">
        <f t="array" ref="F32">IFERROR(INDEX(SaldoNormal,MATCH(D32,Type,)),"")</f>
        <v>Debet</v>
      </c>
      <c r="G32" s="45">
        <f t="array" ref="G32">IFERROR(INDEX(COA_DEBET,MATCH(B32,KODEAKUN,0)),"")</f>
        <v>0</v>
      </c>
      <c r="H32" s="45">
        <f t="array" ref="H32">IFERROR(INDEX(COA_KREDIT,MATCH(B32,KODEAKUN,0)),"")</f>
        <v>0</v>
      </c>
      <c r="I32" s="45">
        <f t="shared" si="0"/>
        <v>0</v>
      </c>
      <c r="J32" s="45">
        <f t="shared" si="1"/>
        <v>663393</v>
      </c>
      <c r="K32" s="45">
        <f t="shared" si="2"/>
        <v>-663393</v>
      </c>
      <c r="L32" s="25">
        <f t="shared" si="3"/>
        <v>0</v>
      </c>
      <c r="M32" s="45">
        <f t="shared" si="4"/>
        <v>-663393</v>
      </c>
      <c r="N32" s="25">
        <f t="shared" si="5"/>
        <v>0</v>
      </c>
      <c r="O32" s="25">
        <f t="shared" si="6"/>
        <v>0</v>
      </c>
      <c r="P32" s="25">
        <f t="shared" si="7"/>
        <v>0</v>
      </c>
      <c r="R32" s="7">
        <f t="shared" si="10"/>
        <v>1</v>
      </c>
    </row>
    <row r="33" spans="2:18" ht="15.75" customHeight="1" x14ac:dyDescent="0.2">
      <c r="B33" s="42">
        <f>IF(COA!B30="","",COA!B30)</f>
        <v>5030</v>
      </c>
      <c r="C33" s="43" t="str">
        <f t="array" ref="C33">IFERROR(INDEX(Nama_Akun,MATCH(B33,KODEAKUN,0)),"")</f>
        <v>Hpp reguler</v>
      </c>
      <c r="D33" s="44" t="str">
        <f t="array" ref="D33">IFERROR(INDEX(Type,MATCH(B33,KODEAKUN,0)),"")</f>
        <v>Hpp reguler</v>
      </c>
      <c r="E33" s="44" t="str">
        <f t="array" ref="E33">INDEX(Posisi,MATCH(D33,Type,0))</f>
        <v>Laba Rugi</v>
      </c>
      <c r="F33" s="44" t="str">
        <f t="array" ref="F33">IFERROR(INDEX(SaldoNormal,MATCH(D33,Type,)),"")</f>
        <v>Debet</v>
      </c>
      <c r="G33" s="45">
        <f t="array" ref="G33">IFERROR(INDEX(COA_DEBET,MATCH(B33,KODEAKUN,0)),"")</f>
        <v>0</v>
      </c>
      <c r="H33" s="45">
        <f t="array" ref="H33">IFERROR(INDEX(COA_KREDIT,MATCH(B33,KODEAKUN,0)),"")</f>
        <v>0</v>
      </c>
      <c r="I33" s="45">
        <f t="shared" si="0"/>
        <v>0</v>
      </c>
      <c r="J33" s="45">
        <f t="shared" si="1"/>
        <v>5524799</v>
      </c>
      <c r="K33" s="45">
        <f t="shared" si="2"/>
        <v>-5524799</v>
      </c>
      <c r="L33" s="25">
        <f t="shared" si="3"/>
        <v>0</v>
      </c>
      <c r="M33" s="45">
        <f t="shared" si="4"/>
        <v>-5524799</v>
      </c>
      <c r="N33" s="25">
        <f t="shared" si="5"/>
        <v>0</v>
      </c>
      <c r="O33" s="25">
        <f t="shared" si="6"/>
        <v>0</v>
      </c>
      <c r="P33" s="25">
        <f t="shared" si="7"/>
        <v>0</v>
      </c>
      <c r="R33" s="7">
        <f t="shared" si="10"/>
        <v>0</v>
      </c>
    </row>
    <row r="34" spans="2:18" ht="15.75" customHeight="1" x14ac:dyDescent="0.2">
      <c r="B34" s="42">
        <f>IF(COA!B31="","",COA!B31)</f>
        <v>5040</v>
      </c>
      <c r="C34" s="43" t="str">
        <f t="array" ref="C34">IFERROR(INDEX(Nama_Akun,MATCH(B34,KODEAKUN,0)),"")</f>
        <v>Hpp Vibram</v>
      </c>
      <c r="D34" s="44" t="str">
        <f t="array" ref="D34">IFERROR(INDEX(Type,MATCH(B34,KODEAKUN,0)),"")</f>
        <v>Hpp Vibram</v>
      </c>
      <c r="E34" s="44" t="str">
        <f t="array" ref="E34">INDEX(Posisi,MATCH(D34,Type,0))</f>
        <v>Laba Rugi</v>
      </c>
      <c r="F34" s="44" t="str">
        <f t="array" ref="F34">IFERROR(INDEX(SaldoNormal,MATCH(D34,Type,)),"")</f>
        <v>Debet</v>
      </c>
      <c r="G34" s="45">
        <f t="array" ref="G34">IFERROR(INDEX(COA_DEBET,MATCH(B34,KODEAKUN,0)),"")</f>
        <v>0</v>
      </c>
      <c r="H34" s="45">
        <f t="array" ref="H34">IFERROR(INDEX(COA_KREDIT,MATCH(B34,KODEAKUN,0)),"")</f>
        <v>0</v>
      </c>
      <c r="I34" s="45">
        <f t="shared" si="0"/>
        <v>0</v>
      </c>
      <c r="J34" s="45">
        <f t="shared" si="1"/>
        <v>497000</v>
      </c>
      <c r="K34" s="45">
        <f t="shared" si="2"/>
        <v>-497000</v>
      </c>
      <c r="L34" s="25">
        <f t="shared" si="3"/>
        <v>0</v>
      </c>
      <c r="M34" s="45">
        <f t="shared" si="4"/>
        <v>-497000</v>
      </c>
      <c r="N34" s="25">
        <f t="shared" si="5"/>
        <v>0</v>
      </c>
      <c r="O34" s="25">
        <f t="shared" si="6"/>
        <v>0</v>
      </c>
      <c r="P34" s="25">
        <f t="shared" si="7"/>
        <v>0</v>
      </c>
      <c r="R34" s="7">
        <f t="shared" si="10"/>
        <v>1</v>
      </c>
    </row>
    <row r="35" spans="2:18" s="123" customFormat="1" ht="15.75" customHeight="1" x14ac:dyDescent="0.2">
      <c r="B35" s="42">
        <f>IF(COA!B32="","",COA!B32)</f>
        <v>5050</v>
      </c>
      <c r="C35" s="43" t="str">
        <f t="array" ref="C35">IFERROR(INDEX(Nama_Akun,MATCH(B35,KODEAKUN,0)),"")</f>
        <v>Hpp repaint</v>
      </c>
      <c r="D35" s="44"/>
      <c r="E35" s="44"/>
      <c r="F35" s="44"/>
      <c r="G35" s="45">
        <f t="array" ref="G35">IFERROR(INDEX(COA_DEBET,MATCH(B35,KODEAKUN,0)),"")</f>
        <v>0</v>
      </c>
      <c r="H35" s="45">
        <f t="array" ref="H35">IFERROR(INDEX(COA_KREDIT,MATCH(B35,KODEAKUN,0)),"")</f>
        <v>0</v>
      </c>
      <c r="I35" s="45">
        <f t="shared" ref="I35:I98" si="11">IF(B35="","",SUMIF(JU_Kodeakun,B35,JU_Debet))</f>
        <v>0</v>
      </c>
      <c r="J35" s="45">
        <f t="shared" ref="J35:J98" si="12">IF(B35="","",SUMIF(JU_Kodeakun,B35,JU_Kredit))</f>
        <v>0</v>
      </c>
      <c r="K35" s="45">
        <f t="shared" ref="K35:K98" si="13">IF(F35="Debet",G35+I35-H35-J35,0)</f>
        <v>0</v>
      </c>
      <c r="L35" s="25">
        <f t="shared" ref="L35:L98" si="14">IF(F35="Kredit",H35+J35-G35-I35,0)</f>
        <v>0</v>
      </c>
      <c r="M35" s="45">
        <f t="shared" ref="M35:M98" si="15">IF(E35="Laba Rugi",K35,0)</f>
        <v>0</v>
      </c>
      <c r="N35" s="25">
        <f t="shared" ref="N35:N98" si="16">IF(E35="Laba Rugi",L35,0)</f>
        <v>0</v>
      </c>
      <c r="O35" s="25">
        <f t="shared" ref="O35:O98" si="17">IF(E35="Neraca",K35,0)</f>
        <v>0</v>
      </c>
      <c r="P35" s="25">
        <f t="shared" ref="P35:P98" si="18">IF(E35="Neraca",L35,0)</f>
        <v>0</v>
      </c>
      <c r="R35" s="7">
        <f t="shared" si="10"/>
        <v>0</v>
      </c>
    </row>
    <row r="36" spans="2:18" s="123" customFormat="1" ht="15.75" customHeight="1" x14ac:dyDescent="0.2">
      <c r="B36" s="42">
        <f>IF(COA!B33="","",COA!B33)</f>
        <v>5060</v>
      </c>
      <c r="C36" s="43" t="str">
        <f t="array" ref="C36">IFERROR(INDEX(Nama_Akun,MATCH(B36,KODEAKUN,0)),"")</f>
        <v>Hpp general</v>
      </c>
      <c r="D36" s="44"/>
      <c r="E36" s="44"/>
      <c r="F36" s="44"/>
      <c r="G36" s="45">
        <f t="array" ref="G36">IFERROR(INDEX(COA_DEBET,MATCH(B36,KODEAKUN,0)),"")</f>
        <v>0</v>
      </c>
      <c r="H36" s="45">
        <f t="array" ref="H36">IFERROR(INDEX(COA_KREDIT,MATCH(B36,KODEAKUN,0)),"")</f>
        <v>0</v>
      </c>
      <c r="I36" s="45">
        <f t="shared" si="11"/>
        <v>0</v>
      </c>
      <c r="J36" s="45">
        <f t="shared" si="12"/>
        <v>0</v>
      </c>
      <c r="K36" s="45">
        <f t="shared" si="13"/>
        <v>0</v>
      </c>
      <c r="L36" s="25">
        <f t="shared" si="14"/>
        <v>0</v>
      </c>
      <c r="M36" s="45">
        <f t="shared" si="15"/>
        <v>0</v>
      </c>
      <c r="N36" s="25">
        <f t="shared" si="16"/>
        <v>0</v>
      </c>
      <c r="O36" s="25">
        <f t="shared" si="17"/>
        <v>0</v>
      </c>
      <c r="P36" s="25">
        <f t="shared" si="18"/>
        <v>0</v>
      </c>
      <c r="R36" s="7">
        <f t="shared" si="10"/>
        <v>0</v>
      </c>
    </row>
    <row r="37" spans="2:18" s="123" customFormat="1" ht="15.75" customHeight="1" x14ac:dyDescent="0.2">
      <c r="B37" s="42">
        <f>IF(COA!B34="","",COA!B34)</f>
        <v>5070</v>
      </c>
      <c r="C37" s="43" t="str">
        <f t="array" ref="C37">IFERROR(INDEX(Nama_Akun,MATCH(B37,KODEAKUN,0)),"")</f>
        <v>Hpp Aksesoris</v>
      </c>
      <c r="D37" s="44"/>
      <c r="E37" s="44"/>
      <c r="F37" s="44"/>
      <c r="G37" s="45">
        <f t="array" ref="G37">IFERROR(INDEX(COA_DEBET,MATCH(B37,KODEAKUN,0)),"")</f>
        <v>0</v>
      </c>
      <c r="H37" s="45">
        <f t="array" ref="H37">IFERROR(INDEX(COA_KREDIT,MATCH(B37,KODEAKUN,0)),"")</f>
        <v>0</v>
      </c>
      <c r="I37" s="45">
        <f t="shared" si="11"/>
        <v>0</v>
      </c>
      <c r="J37" s="45">
        <f t="shared" si="12"/>
        <v>50000</v>
      </c>
      <c r="K37" s="45">
        <f t="shared" si="13"/>
        <v>0</v>
      </c>
      <c r="L37" s="25">
        <f t="shared" si="14"/>
        <v>0</v>
      </c>
      <c r="M37" s="45">
        <f t="shared" si="15"/>
        <v>0</v>
      </c>
      <c r="N37" s="25">
        <f t="shared" si="16"/>
        <v>0</v>
      </c>
      <c r="O37" s="25">
        <f t="shared" si="17"/>
        <v>0</v>
      </c>
      <c r="P37" s="25">
        <f t="shared" si="18"/>
        <v>0</v>
      </c>
      <c r="R37" s="7">
        <f t="shared" si="10"/>
        <v>0</v>
      </c>
    </row>
    <row r="38" spans="2:18" s="123" customFormat="1" ht="15.75" customHeight="1" x14ac:dyDescent="0.2">
      <c r="B38" s="42">
        <f>IF(COA!B35="","",COA!B35)</f>
        <v>5101</v>
      </c>
      <c r="C38" s="43" t="str">
        <f t="array" ref="C38">IFERROR(INDEX(Nama_Akun,MATCH(B38,KODEAKUN,0)),"")</f>
        <v>Beban Gaji shoepolice</v>
      </c>
      <c r="D38" s="44"/>
      <c r="E38" s="44"/>
      <c r="F38" s="44"/>
      <c r="G38" s="45">
        <f t="array" ref="G38">IFERROR(INDEX(COA_DEBET,MATCH(B38,KODEAKUN,0)),"")</f>
        <v>0</v>
      </c>
      <c r="H38" s="45">
        <f t="array" ref="H38">IFERROR(INDEX(COA_KREDIT,MATCH(B38,KODEAKUN,0)),"")</f>
        <v>0</v>
      </c>
      <c r="I38" s="45">
        <f t="shared" si="11"/>
        <v>0</v>
      </c>
      <c r="J38" s="45">
        <f t="shared" si="12"/>
        <v>0</v>
      </c>
      <c r="K38" s="45">
        <f t="shared" si="13"/>
        <v>0</v>
      </c>
      <c r="L38" s="25">
        <f t="shared" si="14"/>
        <v>0</v>
      </c>
      <c r="M38" s="45">
        <f t="shared" si="15"/>
        <v>0</v>
      </c>
      <c r="N38" s="25">
        <f t="shared" si="16"/>
        <v>0</v>
      </c>
      <c r="O38" s="25">
        <f t="shared" si="17"/>
        <v>0</v>
      </c>
      <c r="P38" s="25">
        <f t="shared" si="18"/>
        <v>0</v>
      </c>
      <c r="R38" s="7">
        <f t="shared" si="10"/>
        <v>0</v>
      </c>
    </row>
    <row r="39" spans="2:18" s="123" customFormat="1" ht="15.75" customHeight="1" x14ac:dyDescent="0.2">
      <c r="B39" s="42">
        <f>IF(COA!B36="","",COA!B36)</f>
        <v>5102</v>
      </c>
      <c r="C39" s="43" t="str">
        <f t="array" ref="C39">IFERROR(INDEX(Nama_Akun,MATCH(B39,KODEAKUN,0)),"")</f>
        <v>Beban Gaji Workshop</v>
      </c>
      <c r="D39" s="44"/>
      <c r="E39" s="44"/>
      <c r="F39" s="44"/>
      <c r="G39" s="45">
        <f t="array" ref="G39">IFERROR(INDEX(COA_DEBET,MATCH(B39,KODEAKUN,0)),"")</f>
        <v>0</v>
      </c>
      <c r="H39" s="45">
        <f t="array" ref="H39">IFERROR(INDEX(COA_KREDIT,MATCH(B39,KODEAKUN,0)),"")</f>
        <v>0</v>
      </c>
      <c r="I39" s="45">
        <f t="shared" si="11"/>
        <v>0</v>
      </c>
      <c r="J39" s="45">
        <f t="shared" si="12"/>
        <v>500000</v>
      </c>
      <c r="K39" s="45">
        <f t="shared" si="13"/>
        <v>0</v>
      </c>
      <c r="L39" s="25">
        <f t="shared" si="14"/>
        <v>0</v>
      </c>
      <c r="M39" s="45">
        <f t="shared" si="15"/>
        <v>0</v>
      </c>
      <c r="N39" s="25">
        <f t="shared" si="16"/>
        <v>0</v>
      </c>
      <c r="O39" s="25">
        <f t="shared" si="17"/>
        <v>0</v>
      </c>
      <c r="P39" s="25">
        <f t="shared" si="18"/>
        <v>0</v>
      </c>
      <c r="R39" s="7">
        <f t="shared" si="10"/>
        <v>1</v>
      </c>
    </row>
    <row r="40" spans="2:18" s="123" customFormat="1" ht="15.75" customHeight="1" x14ac:dyDescent="0.2">
      <c r="B40" s="42">
        <f>IF(COA!B37="","",COA!B37)</f>
        <v>5103</v>
      </c>
      <c r="C40" s="43" t="str">
        <f t="array" ref="C40">IFERROR(INDEX(Nama_Akun,MATCH(B40,KODEAKUN,0)),"")</f>
        <v>Beban Gaji CS</v>
      </c>
      <c r="D40" s="44"/>
      <c r="E40" s="44"/>
      <c r="F40" s="44"/>
      <c r="G40" s="45">
        <f t="array" ref="G40">IFERROR(INDEX(COA_DEBET,MATCH(B40,KODEAKUN,0)),"")</f>
        <v>0</v>
      </c>
      <c r="H40" s="45">
        <f t="array" ref="H40">IFERROR(INDEX(COA_KREDIT,MATCH(B40,KODEAKUN,0)),"")</f>
        <v>0</v>
      </c>
      <c r="I40" s="45">
        <f t="shared" si="11"/>
        <v>0</v>
      </c>
      <c r="J40" s="45">
        <f t="shared" si="12"/>
        <v>0</v>
      </c>
      <c r="K40" s="45">
        <f t="shared" si="13"/>
        <v>0</v>
      </c>
      <c r="L40" s="25">
        <f t="shared" si="14"/>
        <v>0</v>
      </c>
      <c r="M40" s="45">
        <f t="shared" si="15"/>
        <v>0</v>
      </c>
      <c r="N40" s="25">
        <f t="shared" si="16"/>
        <v>0</v>
      </c>
      <c r="O40" s="25">
        <f t="shared" si="17"/>
        <v>0</v>
      </c>
      <c r="P40" s="25">
        <f t="shared" si="18"/>
        <v>0</v>
      </c>
      <c r="R40" s="7">
        <f t="shared" si="10"/>
        <v>1</v>
      </c>
    </row>
    <row r="41" spans="2:18" s="123" customFormat="1" ht="15.75" customHeight="1" x14ac:dyDescent="0.2">
      <c r="B41" s="42">
        <f>IF(COA!B38="","",COA!B38)</f>
        <v>5104</v>
      </c>
      <c r="C41" s="43" t="str">
        <f t="array" ref="C41">IFERROR(INDEX(Nama_Akun,MATCH(B41,KODEAKUN,0)),"")</f>
        <v>Beban Gaji Finance</v>
      </c>
      <c r="D41" s="44"/>
      <c r="E41" s="44"/>
      <c r="F41" s="44"/>
      <c r="G41" s="45">
        <f t="array" ref="G41">IFERROR(INDEX(COA_DEBET,MATCH(B41,KODEAKUN,0)),"")</f>
        <v>0</v>
      </c>
      <c r="H41" s="45">
        <f t="array" ref="H41">IFERROR(INDEX(COA_KREDIT,MATCH(B41,KODEAKUN,0)),"")</f>
        <v>0</v>
      </c>
      <c r="I41" s="45">
        <f t="shared" si="11"/>
        <v>0</v>
      </c>
      <c r="J41" s="45">
        <f t="shared" si="12"/>
        <v>0</v>
      </c>
      <c r="K41" s="45">
        <f t="shared" si="13"/>
        <v>0</v>
      </c>
      <c r="L41" s="25">
        <f t="shared" si="14"/>
        <v>0</v>
      </c>
      <c r="M41" s="45">
        <f t="shared" si="15"/>
        <v>0</v>
      </c>
      <c r="N41" s="25">
        <f t="shared" si="16"/>
        <v>0</v>
      </c>
      <c r="O41" s="25">
        <f t="shared" si="17"/>
        <v>0</v>
      </c>
      <c r="P41" s="25">
        <f t="shared" si="18"/>
        <v>0</v>
      </c>
      <c r="R41" s="7">
        <f t="shared" si="10"/>
        <v>0</v>
      </c>
    </row>
    <row r="42" spans="2:18" s="123" customFormat="1" ht="15.75" customHeight="1" x14ac:dyDescent="0.2">
      <c r="B42" s="42">
        <f>IF(COA!B39="","",COA!B39)</f>
        <v>5105</v>
      </c>
      <c r="C42" s="43" t="str">
        <f t="array" ref="C42">IFERROR(INDEX(Nama_Akun,MATCH(B42,KODEAKUN,0)),"")</f>
        <v>Beban Gaji CC</v>
      </c>
      <c r="D42" s="44"/>
      <c r="E42" s="44"/>
      <c r="F42" s="44"/>
      <c r="G42" s="45">
        <f t="array" ref="G42">IFERROR(INDEX(COA_DEBET,MATCH(B42,KODEAKUN,0)),"")</f>
        <v>0</v>
      </c>
      <c r="H42" s="45">
        <f t="array" ref="H42">IFERROR(INDEX(COA_KREDIT,MATCH(B42,KODEAKUN,0)),"")</f>
        <v>0</v>
      </c>
      <c r="I42" s="45">
        <f t="shared" si="11"/>
        <v>0</v>
      </c>
      <c r="J42" s="45">
        <f t="shared" si="12"/>
        <v>0</v>
      </c>
      <c r="K42" s="45">
        <f t="shared" si="13"/>
        <v>0</v>
      </c>
      <c r="L42" s="25">
        <f t="shared" si="14"/>
        <v>0</v>
      </c>
      <c r="M42" s="45">
        <f t="shared" si="15"/>
        <v>0</v>
      </c>
      <c r="N42" s="25">
        <f t="shared" si="16"/>
        <v>0</v>
      </c>
      <c r="O42" s="25">
        <f t="shared" si="17"/>
        <v>0</v>
      </c>
      <c r="P42" s="25">
        <f t="shared" si="18"/>
        <v>0</v>
      </c>
      <c r="R42" s="7">
        <f t="shared" si="10"/>
        <v>0</v>
      </c>
    </row>
    <row r="43" spans="2:18" s="123" customFormat="1" ht="15.75" customHeight="1" x14ac:dyDescent="0.2">
      <c r="B43" s="42">
        <f>IF(COA!B40="","",COA!B40)</f>
        <v>5106</v>
      </c>
      <c r="C43" s="43" t="str">
        <f t="array" ref="C43">IFERROR(INDEX(Nama_Akun,MATCH(B43,KODEAKUN,0)),"")</f>
        <v>Beban Gaji Data analisis</v>
      </c>
      <c r="D43" s="44"/>
      <c r="E43" s="44"/>
      <c r="F43" s="44"/>
      <c r="G43" s="45">
        <f t="array" ref="G43">IFERROR(INDEX(COA_DEBET,MATCH(B43,KODEAKUN,0)),"")</f>
        <v>0</v>
      </c>
      <c r="H43" s="45">
        <f t="array" ref="H43">IFERROR(INDEX(COA_KREDIT,MATCH(B43,KODEAKUN,0)),"")</f>
        <v>0</v>
      </c>
      <c r="I43" s="45">
        <f t="shared" si="11"/>
        <v>0</v>
      </c>
      <c r="J43" s="45">
        <f t="shared" si="12"/>
        <v>0</v>
      </c>
      <c r="K43" s="45">
        <f t="shared" si="13"/>
        <v>0</v>
      </c>
      <c r="L43" s="25">
        <f t="shared" si="14"/>
        <v>0</v>
      </c>
      <c r="M43" s="45">
        <f t="shared" si="15"/>
        <v>0</v>
      </c>
      <c r="N43" s="25">
        <f t="shared" si="16"/>
        <v>0</v>
      </c>
      <c r="O43" s="25">
        <f t="shared" si="17"/>
        <v>0</v>
      </c>
      <c r="P43" s="25">
        <f t="shared" si="18"/>
        <v>0</v>
      </c>
      <c r="R43" s="7">
        <f t="shared" si="10"/>
        <v>0</v>
      </c>
    </row>
    <row r="44" spans="2:18" s="123" customFormat="1" ht="15.75" customHeight="1" x14ac:dyDescent="0.2">
      <c r="B44" s="42">
        <f>IF(COA!B41="","",COA!B41)</f>
        <v>5107</v>
      </c>
      <c r="C44" s="43" t="str">
        <f t="array" ref="C44">IFERROR(INDEX(Nama_Akun,MATCH(B44,KODEAKUN,0)),"")</f>
        <v>Beban Gaji Gudang</v>
      </c>
      <c r="D44" s="44"/>
      <c r="E44" s="44"/>
      <c r="F44" s="44"/>
      <c r="G44" s="45">
        <f t="array" ref="G44">IFERROR(INDEX(COA_DEBET,MATCH(B44,KODEAKUN,0)),"")</f>
        <v>0</v>
      </c>
      <c r="H44" s="45">
        <f t="array" ref="H44">IFERROR(INDEX(COA_KREDIT,MATCH(B44,KODEAKUN,0)),"")</f>
        <v>0</v>
      </c>
      <c r="I44" s="45">
        <f t="shared" si="11"/>
        <v>0</v>
      </c>
      <c r="J44" s="45">
        <f t="shared" si="12"/>
        <v>583333</v>
      </c>
      <c r="K44" s="45">
        <f t="shared" si="13"/>
        <v>0</v>
      </c>
      <c r="L44" s="25">
        <f t="shared" si="14"/>
        <v>0</v>
      </c>
      <c r="M44" s="45">
        <f t="shared" si="15"/>
        <v>0</v>
      </c>
      <c r="N44" s="25">
        <f t="shared" si="16"/>
        <v>0</v>
      </c>
      <c r="O44" s="25">
        <f t="shared" si="17"/>
        <v>0</v>
      </c>
      <c r="P44" s="25">
        <f t="shared" si="18"/>
        <v>0</v>
      </c>
      <c r="R44" s="7">
        <f t="shared" si="10"/>
        <v>1</v>
      </c>
    </row>
    <row r="45" spans="2:18" s="123" customFormat="1" ht="15.75" customHeight="1" x14ac:dyDescent="0.2">
      <c r="B45" s="42">
        <f>IF(COA!B42="","",COA!B42)</f>
        <v>5108</v>
      </c>
      <c r="C45" s="43" t="str">
        <f t="array" ref="C45">IFERROR(INDEX(Nama_Akun,MATCH(B45,KODEAKUN,0)),"")</f>
        <v>Beban gaji tukang</v>
      </c>
      <c r="D45" s="44"/>
      <c r="E45" s="44"/>
      <c r="F45" s="44"/>
      <c r="G45" s="45">
        <f t="array" ref="G45">IFERROR(INDEX(COA_DEBET,MATCH(B45,KODEAKUN,0)),"")</f>
        <v>0</v>
      </c>
      <c r="H45" s="45">
        <f t="array" ref="H45">IFERROR(INDEX(COA_KREDIT,MATCH(B45,KODEAKUN,0)),"")</f>
        <v>0</v>
      </c>
      <c r="I45" s="45">
        <f t="shared" si="11"/>
        <v>0</v>
      </c>
      <c r="J45" s="45">
        <f t="shared" si="12"/>
        <v>16453778</v>
      </c>
      <c r="K45" s="45">
        <f t="shared" si="13"/>
        <v>0</v>
      </c>
      <c r="L45" s="25">
        <f t="shared" si="14"/>
        <v>0</v>
      </c>
      <c r="M45" s="45">
        <f t="shared" si="15"/>
        <v>0</v>
      </c>
      <c r="N45" s="25">
        <f t="shared" si="16"/>
        <v>0</v>
      </c>
      <c r="O45" s="25">
        <f t="shared" si="17"/>
        <v>0</v>
      </c>
      <c r="P45" s="25">
        <f t="shared" si="18"/>
        <v>0</v>
      </c>
      <c r="R45" s="7">
        <f t="shared" si="10"/>
        <v>1</v>
      </c>
    </row>
    <row r="46" spans="2:18" s="123" customFormat="1" ht="15.75" customHeight="1" x14ac:dyDescent="0.2">
      <c r="B46" s="42">
        <f>IF(COA!B43="","",COA!B43)</f>
        <v>5110</v>
      </c>
      <c r="C46" s="43" t="str">
        <f t="array" ref="C46">IFERROR(INDEX(Nama_Akun,MATCH(B46,KODEAKUN,0)),"")</f>
        <v>Bonus CS</v>
      </c>
      <c r="D46" s="44"/>
      <c r="E46" s="44"/>
      <c r="F46" s="44"/>
      <c r="G46" s="45">
        <f t="array" ref="G46">IFERROR(INDEX(COA_DEBET,MATCH(B46,KODEAKUN,0)),"")</f>
        <v>0</v>
      </c>
      <c r="H46" s="45">
        <f t="array" ref="H46">IFERROR(INDEX(COA_KREDIT,MATCH(B46,KODEAKUN,0)),"")</f>
        <v>0</v>
      </c>
      <c r="I46" s="45">
        <f t="shared" si="11"/>
        <v>0</v>
      </c>
      <c r="J46" s="45">
        <f t="shared" si="12"/>
        <v>0</v>
      </c>
      <c r="K46" s="45">
        <f t="shared" si="13"/>
        <v>0</v>
      </c>
      <c r="L46" s="25">
        <f t="shared" si="14"/>
        <v>0</v>
      </c>
      <c r="M46" s="45">
        <f t="shared" si="15"/>
        <v>0</v>
      </c>
      <c r="N46" s="25">
        <f t="shared" si="16"/>
        <v>0</v>
      </c>
      <c r="O46" s="25">
        <f t="shared" si="17"/>
        <v>0</v>
      </c>
      <c r="P46" s="25">
        <f t="shared" si="18"/>
        <v>0</v>
      </c>
      <c r="R46" s="7">
        <f t="shared" si="10"/>
        <v>1</v>
      </c>
    </row>
    <row r="47" spans="2:18" s="123" customFormat="1" ht="15.75" customHeight="1" x14ac:dyDescent="0.2">
      <c r="B47" s="42">
        <f>IF(COA!B44="","",COA!B44)</f>
        <v>5120</v>
      </c>
      <c r="C47" s="43" t="str">
        <f t="array" ref="C47">IFERROR(INDEX(Nama_Akun,MATCH(B47,KODEAKUN,0)),"")</f>
        <v>Bonus tukang</v>
      </c>
      <c r="D47" s="44"/>
      <c r="E47" s="44"/>
      <c r="F47" s="44"/>
      <c r="G47" s="45">
        <f t="array" ref="G47">IFERROR(INDEX(COA_DEBET,MATCH(B47,KODEAKUN,0)),"")</f>
        <v>0</v>
      </c>
      <c r="H47" s="45">
        <f t="array" ref="H47">IFERROR(INDEX(COA_KREDIT,MATCH(B47,KODEAKUN,0)),"")</f>
        <v>0</v>
      </c>
      <c r="I47" s="45">
        <f t="shared" si="11"/>
        <v>0</v>
      </c>
      <c r="J47" s="45">
        <f t="shared" si="12"/>
        <v>0</v>
      </c>
      <c r="K47" s="45">
        <f t="shared" si="13"/>
        <v>0</v>
      </c>
      <c r="L47" s="25">
        <f t="shared" si="14"/>
        <v>0</v>
      </c>
      <c r="M47" s="45">
        <f t="shared" si="15"/>
        <v>0</v>
      </c>
      <c r="N47" s="25">
        <f t="shared" si="16"/>
        <v>0</v>
      </c>
      <c r="O47" s="25">
        <f t="shared" si="17"/>
        <v>0</v>
      </c>
      <c r="P47" s="25">
        <f t="shared" si="18"/>
        <v>0</v>
      </c>
      <c r="R47" s="7">
        <f t="shared" si="10"/>
        <v>0</v>
      </c>
    </row>
    <row r="48" spans="2:18" s="123" customFormat="1" ht="15.75" customHeight="1" x14ac:dyDescent="0.2">
      <c r="B48" s="42">
        <f>IF(COA!B45="","",COA!B45)</f>
        <v>5130</v>
      </c>
      <c r="C48" s="43" t="str">
        <f t="array" ref="C48">IFERROR(INDEX(Nama_Akun,MATCH(B48,KODEAKUN,0)),"")</f>
        <v>Bonus kehadiran</v>
      </c>
      <c r="D48" s="44"/>
      <c r="E48" s="44"/>
      <c r="F48" s="44"/>
      <c r="G48" s="45">
        <f t="array" ref="G48">IFERROR(INDEX(COA_DEBET,MATCH(B48,KODEAKUN,0)),"")</f>
        <v>0</v>
      </c>
      <c r="H48" s="45">
        <f t="array" ref="H48">IFERROR(INDEX(COA_KREDIT,MATCH(B48,KODEAKUN,0)),"")</f>
        <v>0</v>
      </c>
      <c r="I48" s="45">
        <f t="shared" si="11"/>
        <v>0</v>
      </c>
      <c r="J48" s="45">
        <f t="shared" si="12"/>
        <v>0</v>
      </c>
      <c r="K48" s="45">
        <f t="shared" si="13"/>
        <v>0</v>
      </c>
      <c r="L48" s="25">
        <f t="shared" si="14"/>
        <v>0</v>
      </c>
      <c r="M48" s="45">
        <f t="shared" si="15"/>
        <v>0</v>
      </c>
      <c r="N48" s="25">
        <f t="shared" si="16"/>
        <v>0</v>
      </c>
      <c r="O48" s="25">
        <f t="shared" si="17"/>
        <v>0</v>
      </c>
      <c r="P48" s="25">
        <f t="shared" si="18"/>
        <v>0</v>
      </c>
      <c r="R48" s="7">
        <f t="shared" si="10"/>
        <v>1</v>
      </c>
    </row>
    <row r="49" spans="2:18" s="123" customFormat="1" ht="15.75" customHeight="1" x14ac:dyDescent="0.2">
      <c r="B49" s="42">
        <f>IF(COA!B46="","",COA!B46)</f>
        <v>5300</v>
      </c>
      <c r="C49" s="43" t="str">
        <f t="array" ref="C49">IFERROR(INDEX(Nama_Akun,MATCH(B49,KODEAKUN,0)),"")</f>
        <v>Biaya packaging</v>
      </c>
      <c r="D49" s="44"/>
      <c r="E49" s="44"/>
      <c r="F49" s="44"/>
      <c r="G49" s="45">
        <f t="array" ref="G49">IFERROR(INDEX(COA_DEBET,MATCH(B49,KODEAKUN,0)),"")</f>
        <v>0</v>
      </c>
      <c r="H49" s="45">
        <f t="array" ref="H49">IFERROR(INDEX(COA_KREDIT,MATCH(B49,KODEAKUN,0)),"")</f>
        <v>0</v>
      </c>
      <c r="I49" s="45">
        <f t="shared" si="11"/>
        <v>0</v>
      </c>
      <c r="J49" s="45">
        <f t="shared" si="12"/>
        <v>625000</v>
      </c>
      <c r="K49" s="45">
        <f t="shared" si="13"/>
        <v>0</v>
      </c>
      <c r="L49" s="25">
        <f t="shared" si="14"/>
        <v>0</v>
      </c>
      <c r="M49" s="45">
        <f t="shared" si="15"/>
        <v>0</v>
      </c>
      <c r="N49" s="25">
        <f t="shared" si="16"/>
        <v>0</v>
      </c>
      <c r="O49" s="25">
        <f t="shared" si="17"/>
        <v>0</v>
      </c>
      <c r="P49" s="25">
        <f t="shared" si="18"/>
        <v>0</v>
      </c>
      <c r="R49" s="7">
        <f t="shared" si="10"/>
        <v>1</v>
      </c>
    </row>
    <row r="50" spans="2:18" s="123" customFormat="1" ht="15.75" customHeight="1" x14ac:dyDescent="0.2">
      <c r="B50" s="42">
        <f>IF(COA!B47="","",COA!B47)</f>
        <v>5310</v>
      </c>
      <c r="C50" s="43" t="str">
        <f t="array" ref="C50">IFERROR(INDEX(Nama_Akun,MATCH(B50,KODEAKUN,0)),"")</f>
        <v>Biaya ekspedisi &amp; ongkir</v>
      </c>
      <c r="D50" s="44"/>
      <c r="E50" s="44"/>
      <c r="F50" s="44"/>
      <c r="G50" s="45">
        <f t="array" ref="G50">IFERROR(INDEX(COA_DEBET,MATCH(B50,KODEAKUN,0)),"")</f>
        <v>0</v>
      </c>
      <c r="H50" s="45">
        <f t="array" ref="H50">IFERROR(INDEX(COA_KREDIT,MATCH(B50,KODEAKUN,0)),"")</f>
        <v>0</v>
      </c>
      <c r="I50" s="45">
        <f t="shared" si="11"/>
        <v>0</v>
      </c>
      <c r="J50" s="45">
        <f t="shared" si="12"/>
        <v>422685</v>
      </c>
      <c r="K50" s="45">
        <f t="shared" si="13"/>
        <v>0</v>
      </c>
      <c r="L50" s="25">
        <f t="shared" si="14"/>
        <v>0</v>
      </c>
      <c r="M50" s="45">
        <f t="shared" si="15"/>
        <v>0</v>
      </c>
      <c r="N50" s="25">
        <f t="shared" si="16"/>
        <v>0</v>
      </c>
      <c r="O50" s="25">
        <f t="shared" si="17"/>
        <v>0</v>
      </c>
      <c r="P50" s="25">
        <f t="shared" si="18"/>
        <v>0</v>
      </c>
      <c r="R50" s="7">
        <f t="shared" si="10"/>
        <v>1</v>
      </c>
    </row>
    <row r="51" spans="2:18" s="123" customFormat="1" ht="15.75" customHeight="1" x14ac:dyDescent="0.2">
      <c r="B51" s="42">
        <f>IF(COA!B48="","",COA!B48)</f>
        <v>5200</v>
      </c>
      <c r="C51" s="43" t="str">
        <f t="array" ref="C51">IFERROR(INDEX(Nama_Akun,MATCH(B51,KODEAKUN,0)),"")</f>
        <v xml:space="preserve">Konsumsi lembur &amp; Meeting </v>
      </c>
      <c r="D51" s="44"/>
      <c r="E51" s="44"/>
      <c r="F51" s="44"/>
      <c r="G51" s="45">
        <f t="array" ref="G51">IFERROR(INDEX(COA_DEBET,MATCH(B51,KODEAKUN,0)),"")</f>
        <v>0</v>
      </c>
      <c r="H51" s="45">
        <f t="array" ref="H51">IFERROR(INDEX(COA_KREDIT,MATCH(B51,KODEAKUN,0)),"")</f>
        <v>0</v>
      </c>
      <c r="I51" s="45">
        <f t="shared" si="11"/>
        <v>0</v>
      </c>
      <c r="J51" s="45">
        <f t="shared" si="12"/>
        <v>670500</v>
      </c>
      <c r="K51" s="45">
        <f t="shared" si="13"/>
        <v>0</v>
      </c>
      <c r="L51" s="25">
        <f t="shared" si="14"/>
        <v>0</v>
      </c>
      <c r="M51" s="45">
        <f t="shared" si="15"/>
        <v>0</v>
      </c>
      <c r="N51" s="25">
        <f t="shared" si="16"/>
        <v>0</v>
      </c>
      <c r="O51" s="25">
        <f t="shared" si="17"/>
        <v>0</v>
      </c>
      <c r="P51" s="25">
        <f t="shared" si="18"/>
        <v>0</v>
      </c>
      <c r="R51" s="7">
        <f t="shared" si="10"/>
        <v>1</v>
      </c>
    </row>
    <row r="52" spans="2:18" s="123" customFormat="1" ht="15.75" customHeight="1" x14ac:dyDescent="0.2">
      <c r="B52" s="42">
        <f>IF(COA!B49="","",COA!B49)</f>
        <v>5400</v>
      </c>
      <c r="C52" s="43" t="str">
        <f t="array" ref="C52">IFERROR(INDEX(Nama_Akun,MATCH(B52,KODEAKUN,0)),"")</f>
        <v>pancake</v>
      </c>
      <c r="D52" s="44"/>
      <c r="E52" s="44"/>
      <c r="F52" s="44"/>
      <c r="G52" s="45">
        <f t="array" ref="G52">IFERROR(INDEX(COA_DEBET,MATCH(B52,KODEAKUN,0)),"")</f>
        <v>0</v>
      </c>
      <c r="H52" s="45">
        <f t="array" ref="H52">IFERROR(INDEX(COA_KREDIT,MATCH(B52,KODEAKUN,0)),"")</f>
        <v>0</v>
      </c>
      <c r="I52" s="45">
        <f t="shared" si="11"/>
        <v>0</v>
      </c>
      <c r="J52" s="45">
        <f t="shared" si="12"/>
        <v>0</v>
      </c>
      <c r="K52" s="45">
        <f t="shared" si="13"/>
        <v>0</v>
      </c>
      <c r="L52" s="25">
        <f t="shared" si="14"/>
        <v>0</v>
      </c>
      <c r="M52" s="45">
        <f t="shared" si="15"/>
        <v>0</v>
      </c>
      <c r="N52" s="25">
        <f t="shared" si="16"/>
        <v>0</v>
      </c>
      <c r="O52" s="25">
        <f t="shared" si="17"/>
        <v>0</v>
      </c>
      <c r="P52" s="25">
        <f t="shared" si="18"/>
        <v>0</v>
      </c>
      <c r="R52" s="7">
        <f t="shared" si="10"/>
        <v>1</v>
      </c>
    </row>
    <row r="53" spans="2:18" s="123" customFormat="1" ht="15.75" customHeight="1" x14ac:dyDescent="0.2">
      <c r="B53" s="42">
        <f>IF(COA!B50="","",COA!B50)</f>
        <v>5410</v>
      </c>
      <c r="C53" s="43" t="str">
        <f t="array" ref="C53">IFERROR(INDEX(Nama_Akun,MATCH(B53,KODEAKUN,0)),"")</f>
        <v>Sleekflow</v>
      </c>
      <c r="D53" s="44"/>
      <c r="E53" s="44"/>
      <c r="F53" s="44"/>
      <c r="G53" s="45">
        <f t="array" ref="G53">IFERROR(INDEX(COA_DEBET,MATCH(B53,KODEAKUN,0)),"")</f>
        <v>0</v>
      </c>
      <c r="H53" s="45">
        <f t="array" ref="H53">IFERROR(INDEX(COA_KREDIT,MATCH(B53,KODEAKUN,0)),"")</f>
        <v>0</v>
      </c>
      <c r="I53" s="45">
        <f t="shared" si="11"/>
        <v>0</v>
      </c>
      <c r="J53" s="45">
        <f t="shared" si="12"/>
        <v>11735000</v>
      </c>
      <c r="K53" s="45">
        <f t="shared" si="13"/>
        <v>0</v>
      </c>
      <c r="L53" s="25">
        <f t="shared" si="14"/>
        <v>0</v>
      </c>
      <c r="M53" s="45">
        <f t="shared" si="15"/>
        <v>0</v>
      </c>
      <c r="N53" s="25">
        <f t="shared" si="16"/>
        <v>0</v>
      </c>
      <c r="O53" s="25">
        <f t="shared" si="17"/>
        <v>0</v>
      </c>
      <c r="P53" s="25">
        <f t="shared" si="18"/>
        <v>0</v>
      </c>
      <c r="R53" s="7">
        <f t="shared" si="10"/>
        <v>0</v>
      </c>
    </row>
    <row r="54" spans="2:18" s="123" customFormat="1" ht="15.75" customHeight="1" x14ac:dyDescent="0.2">
      <c r="B54" s="42">
        <f>IF(COA!B51="","",COA!B51)</f>
        <v>5420</v>
      </c>
      <c r="C54" s="43" t="str">
        <f t="array" ref="C54">IFERROR(INDEX(Nama_Akun,MATCH(B54,KODEAKUN,0)),"")</f>
        <v>anty gravity</v>
      </c>
      <c r="D54" s="44"/>
      <c r="E54" s="44"/>
      <c r="F54" s="44"/>
      <c r="G54" s="45">
        <f t="array" ref="G54">IFERROR(INDEX(COA_DEBET,MATCH(B54,KODEAKUN,0)),"")</f>
        <v>0</v>
      </c>
      <c r="H54" s="45">
        <f t="array" ref="H54">IFERROR(INDEX(COA_KREDIT,MATCH(B54,KODEAKUN,0)),"")</f>
        <v>0</v>
      </c>
      <c r="I54" s="45">
        <f t="shared" si="11"/>
        <v>0</v>
      </c>
      <c r="J54" s="45">
        <f t="shared" si="12"/>
        <v>85470</v>
      </c>
      <c r="K54" s="45">
        <f t="shared" si="13"/>
        <v>0</v>
      </c>
      <c r="L54" s="25">
        <f t="shared" si="14"/>
        <v>0</v>
      </c>
      <c r="M54" s="45">
        <f t="shared" si="15"/>
        <v>0</v>
      </c>
      <c r="N54" s="25">
        <f t="shared" si="16"/>
        <v>0</v>
      </c>
      <c r="O54" s="25">
        <f t="shared" si="17"/>
        <v>0</v>
      </c>
      <c r="P54" s="25">
        <f t="shared" si="18"/>
        <v>0</v>
      </c>
      <c r="R54" s="7">
        <f t="shared" si="10"/>
        <v>1</v>
      </c>
    </row>
    <row r="55" spans="2:18" s="123" customFormat="1" ht="15.75" customHeight="1" x14ac:dyDescent="0.2">
      <c r="B55" s="42">
        <f>IF(COA!B52="","",COA!B52)</f>
        <v>5430</v>
      </c>
      <c r="C55" s="43" t="str">
        <f t="array" ref="C55">IFERROR(INDEX(Nama_Akun,MATCH(B55,KODEAKUN,0)),"")</f>
        <v>server domainesia</v>
      </c>
      <c r="D55" s="44"/>
      <c r="E55" s="44"/>
      <c r="F55" s="44"/>
      <c r="G55" s="45">
        <f t="array" ref="G55">IFERROR(INDEX(COA_DEBET,MATCH(B55,KODEAKUN,0)),"")</f>
        <v>0</v>
      </c>
      <c r="H55" s="45">
        <f t="array" ref="H55">IFERROR(INDEX(COA_KREDIT,MATCH(B55,KODEAKUN,0)),"")</f>
        <v>0</v>
      </c>
      <c r="I55" s="45">
        <f t="shared" si="11"/>
        <v>0</v>
      </c>
      <c r="J55" s="45">
        <f t="shared" si="12"/>
        <v>1778002</v>
      </c>
      <c r="K55" s="45">
        <f t="shared" si="13"/>
        <v>0</v>
      </c>
      <c r="L55" s="25">
        <f t="shared" si="14"/>
        <v>0</v>
      </c>
      <c r="M55" s="45">
        <f t="shared" si="15"/>
        <v>0</v>
      </c>
      <c r="N55" s="25">
        <f t="shared" si="16"/>
        <v>0</v>
      </c>
      <c r="O55" s="25">
        <f t="shared" si="17"/>
        <v>0</v>
      </c>
      <c r="P55" s="25">
        <f t="shared" si="18"/>
        <v>0</v>
      </c>
      <c r="R55" s="7">
        <f t="shared" si="10"/>
        <v>1</v>
      </c>
    </row>
    <row r="56" spans="2:18" s="123" customFormat="1" ht="15.75" customHeight="1" x14ac:dyDescent="0.2">
      <c r="B56" s="42">
        <f>IF(COA!B53="","",COA!B53)</f>
        <v>5440</v>
      </c>
      <c r="C56" s="43" t="str">
        <f t="array" ref="C56">IFERROR(INDEX(Nama_Akun,MATCH(B56,KODEAKUN,0)),"")</f>
        <v>ADS</v>
      </c>
      <c r="D56" s="44"/>
      <c r="E56" s="44"/>
      <c r="F56" s="44"/>
      <c r="G56" s="45">
        <f t="array" ref="G56">IFERROR(INDEX(COA_DEBET,MATCH(B56,KODEAKUN,0)),"")</f>
        <v>0</v>
      </c>
      <c r="H56" s="45">
        <f t="array" ref="H56">IFERROR(INDEX(COA_KREDIT,MATCH(B56,KODEAKUN,0)),"")</f>
        <v>0</v>
      </c>
      <c r="I56" s="45">
        <f t="shared" si="11"/>
        <v>0</v>
      </c>
      <c r="J56" s="45">
        <f t="shared" si="12"/>
        <v>25000000</v>
      </c>
      <c r="K56" s="45">
        <f t="shared" si="13"/>
        <v>0</v>
      </c>
      <c r="L56" s="25">
        <f t="shared" si="14"/>
        <v>0</v>
      </c>
      <c r="M56" s="45">
        <f t="shared" si="15"/>
        <v>0</v>
      </c>
      <c r="N56" s="25">
        <f t="shared" si="16"/>
        <v>0</v>
      </c>
      <c r="O56" s="25">
        <f t="shared" si="17"/>
        <v>0</v>
      </c>
      <c r="P56" s="25">
        <f t="shared" si="18"/>
        <v>0</v>
      </c>
      <c r="R56" s="7">
        <f t="shared" si="10"/>
        <v>1</v>
      </c>
    </row>
    <row r="57" spans="2:18" s="123" customFormat="1" ht="15.75" customHeight="1" x14ac:dyDescent="0.2">
      <c r="B57" s="42">
        <f>IF(COA!B54="","",COA!B54)</f>
        <v>5450</v>
      </c>
      <c r="C57" s="43" t="str">
        <f t="array" ref="C57">IFERROR(INDEX(Nama_Akun,MATCH(B57,KODEAKUN,0)),"")</f>
        <v>WA API</v>
      </c>
      <c r="D57" s="44"/>
      <c r="E57" s="44"/>
      <c r="F57" s="44"/>
      <c r="G57" s="45">
        <f t="array" ref="G57">IFERROR(INDEX(COA_DEBET,MATCH(B57,KODEAKUN,0)),"")</f>
        <v>0</v>
      </c>
      <c r="H57" s="45">
        <f t="array" ref="H57">IFERROR(INDEX(COA_KREDIT,MATCH(B57,KODEAKUN,0)),"")</f>
        <v>0</v>
      </c>
      <c r="I57" s="45">
        <f t="shared" si="11"/>
        <v>0</v>
      </c>
      <c r="J57" s="45">
        <f t="shared" si="12"/>
        <v>4327743</v>
      </c>
      <c r="K57" s="45">
        <f t="shared" si="13"/>
        <v>0</v>
      </c>
      <c r="L57" s="25">
        <f t="shared" si="14"/>
        <v>0</v>
      </c>
      <c r="M57" s="45">
        <f t="shared" si="15"/>
        <v>0</v>
      </c>
      <c r="N57" s="25">
        <f t="shared" si="16"/>
        <v>0</v>
      </c>
      <c r="O57" s="25">
        <f t="shared" si="17"/>
        <v>0</v>
      </c>
      <c r="P57" s="25">
        <f t="shared" si="18"/>
        <v>0</v>
      </c>
      <c r="R57" s="7">
        <f t="shared" si="10"/>
        <v>0</v>
      </c>
    </row>
    <row r="58" spans="2:18" s="123" customFormat="1" ht="15.75" customHeight="1" x14ac:dyDescent="0.2">
      <c r="B58" s="42">
        <f>IF(COA!B55="","",COA!B55)</f>
        <v>5460</v>
      </c>
      <c r="C58" s="43" t="str">
        <f t="array" ref="C58">IFERROR(INDEX(Nama_Akun,MATCH(B58,KODEAKUN,0)),"")</f>
        <v>voucher marketing</v>
      </c>
      <c r="D58" s="44"/>
      <c r="E58" s="44"/>
      <c r="F58" s="44"/>
      <c r="G58" s="45">
        <f t="array" ref="G58">IFERROR(INDEX(COA_DEBET,MATCH(B58,KODEAKUN,0)),"")</f>
        <v>0</v>
      </c>
      <c r="H58" s="45">
        <f t="array" ref="H58">IFERROR(INDEX(COA_KREDIT,MATCH(B58,KODEAKUN,0)),"")</f>
        <v>0</v>
      </c>
      <c r="I58" s="45">
        <f t="shared" si="11"/>
        <v>0</v>
      </c>
      <c r="J58" s="45">
        <f t="shared" si="12"/>
        <v>0</v>
      </c>
      <c r="K58" s="45">
        <f t="shared" si="13"/>
        <v>0</v>
      </c>
      <c r="L58" s="25">
        <f t="shared" si="14"/>
        <v>0</v>
      </c>
      <c r="M58" s="45">
        <f t="shared" si="15"/>
        <v>0</v>
      </c>
      <c r="N58" s="25">
        <f t="shared" si="16"/>
        <v>0</v>
      </c>
      <c r="O58" s="25">
        <f t="shared" si="17"/>
        <v>0</v>
      </c>
      <c r="P58" s="25">
        <f t="shared" si="18"/>
        <v>0</v>
      </c>
      <c r="R58" s="7">
        <f t="shared" si="10"/>
        <v>1</v>
      </c>
    </row>
    <row r="59" spans="2:18" s="123" customFormat="1" ht="15.75" customHeight="1" x14ac:dyDescent="0.2">
      <c r="B59" s="42">
        <f>IF(COA!B56="","",COA!B56)</f>
        <v>5500</v>
      </c>
      <c r="C59" s="43" t="str">
        <f t="array" ref="C59">IFERROR(INDEX(Nama_Akun,MATCH(B59,KODEAKUN,0)),"")</f>
        <v>Beban Listrik Office</v>
      </c>
      <c r="D59" s="44"/>
      <c r="E59" s="44"/>
      <c r="F59" s="44"/>
      <c r="G59" s="45">
        <f t="array" ref="G59">IFERROR(INDEX(COA_DEBET,MATCH(B59,KODEAKUN,0)),"")</f>
        <v>0</v>
      </c>
      <c r="H59" s="45">
        <f t="array" ref="H59">IFERROR(INDEX(COA_KREDIT,MATCH(B59,KODEAKUN,0)),"")</f>
        <v>0</v>
      </c>
      <c r="I59" s="45">
        <f t="shared" si="11"/>
        <v>0</v>
      </c>
      <c r="J59" s="45">
        <f t="shared" si="12"/>
        <v>553500</v>
      </c>
      <c r="K59" s="45">
        <f t="shared" si="13"/>
        <v>0</v>
      </c>
      <c r="L59" s="25">
        <f t="shared" si="14"/>
        <v>0</v>
      </c>
      <c r="M59" s="45">
        <f t="shared" si="15"/>
        <v>0</v>
      </c>
      <c r="N59" s="25">
        <f t="shared" si="16"/>
        <v>0</v>
      </c>
      <c r="O59" s="25">
        <f t="shared" si="17"/>
        <v>0</v>
      </c>
      <c r="P59" s="25">
        <f t="shared" si="18"/>
        <v>0</v>
      </c>
      <c r="R59" s="7">
        <f t="shared" si="10"/>
        <v>1</v>
      </c>
    </row>
    <row r="60" spans="2:18" s="123" customFormat="1" ht="15.75" customHeight="1" x14ac:dyDescent="0.2">
      <c r="B60" s="42">
        <f>IF(COA!B57="","",COA!B57)</f>
        <v>5510</v>
      </c>
      <c r="C60" s="43" t="str">
        <f t="array" ref="C60">IFERROR(INDEX(Nama_Akun,MATCH(B60,KODEAKUN,0)),"")</f>
        <v>Beban Listrik Workshop</v>
      </c>
      <c r="D60" s="44"/>
      <c r="E60" s="44"/>
      <c r="F60" s="44"/>
      <c r="G60" s="45">
        <f t="array" ref="G60">IFERROR(INDEX(COA_DEBET,MATCH(B60,KODEAKUN,0)),"")</f>
        <v>0</v>
      </c>
      <c r="H60" s="45">
        <f t="array" ref="H60">IFERROR(INDEX(COA_KREDIT,MATCH(B60,KODEAKUN,0)),"")</f>
        <v>0</v>
      </c>
      <c r="I60" s="45">
        <f t="shared" si="11"/>
        <v>0</v>
      </c>
      <c r="J60" s="45">
        <f t="shared" si="12"/>
        <v>606000</v>
      </c>
      <c r="K60" s="45">
        <f t="shared" si="13"/>
        <v>0</v>
      </c>
      <c r="L60" s="25">
        <f t="shared" si="14"/>
        <v>0</v>
      </c>
      <c r="M60" s="45">
        <f t="shared" si="15"/>
        <v>0</v>
      </c>
      <c r="N60" s="25">
        <f t="shared" si="16"/>
        <v>0</v>
      </c>
      <c r="O60" s="25">
        <f t="shared" si="17"/>
        <v>0</v>
      </c>
      <c r="P60" s="25">
        <f t="shared" si="18"/>
        <v>0</v>
      </c>
      <c r="R60" s="7">
        <f t="shared" si="10"/>
        <v>1</v>
      </c>
    </row>
    <row r="61" spans="2:18" s="123" customFormat="1" ht="15.75" customHeight="1" x14ac:dyDescent="0.2">
      <c r="B61" s="42">
        <f>IF(COA!B58="","",COA!B58)</f>
        <v>5520</v>
      </c>
      <c r="C61" s="43" t="str">
        <f t="array" ref="C61">IFERROR(INDEX(Nama_Akun,MATCH(B61,KODEAKUN,0)),"")</f>
        <v>Beban Listrik sortir</v>
      </c>
      <c r="D61" s="44"/>
      <c r="E61" s="44"/>
      <c r="F61" s="44"/>
      <c r="G61" s="45">
        <f t="array" ref="G61">IFERROR(INDEX(COA_DEBET,MATCH(B61,KODEAKUN,0)),"")</f>
        <v>0</v>
      </c>
      <c r="H61" s="45">
        <f t="array" ref="H61">IFERROR(INDEX(COA_KREDIT,MATCH(B61,KODEAKUN,0)),"")</f>
        <v>0</v>
      </c>
      <c r="I61" s="45">
        <f t="shared" si="11"/>
        <v>0</v>
      </c>
      <c r="J61" s="45">
        <f t="shared" si="12"/>
        <v>203450</v>
      </c>
      <c r="K61" s="45">
        <f t="shared" si="13"/>
        <v>0</v>
      </c>
      <c r="L61" s="25">
        <f t="shared" si="14"/>
        <v>0</v>
      </c>
      <c r="M61" s="45">
        <f t="shared" si="15"/>
        <v>0</v>
      </c>
      <c r="N61" s="25">
        <f t="shared" si="16"/>
        <v>0</v>
      </c>
      <c r="O61" s="25">
        <f t="shared" si="17"/>
        <v>0</v>
      </c>
      <c r="P61" s="25">
        <f t="shared" si="18"/>
        <v>0</v>
      </c>
      <c r="R61" s="7">
        <f t="shared" si="10"/>
        <v>1</v>
      </c>
    </row>
    <row r="62" spans="2:18" s="123" customFormat="1" ht="15.75" customHeight="1" x14ac:dyDescent="0.2">
      <c r="B62" s="42">
        <f>IF(COA!B59="","",COA!B59)</f>
        <v>5530</v>
      </c>
      <c r="C62" s="43" t="str">
        <f t="array" ref="C62">IFERROR(INDEX(Nama_Akun,MATCH(B62,KODEAKUN,0)),"")</f>
        <v>Beban PDAM Office</v>
      </c>
      <c r="D62" s="44"/>
      <c r="E62" s="44"/>
      <c r="F62" s="44"/>
      <c r="G62" s="45">
        <f t="array" ref="G62">IFERROR(INDEX(COA_DEBET,MATCH(B62,KODEAKUN,0)),"")</f>
        <v>0</v>
      </c>
      <c r="H62" s="45">
        <f t="array" ref="H62">IFERROR(INDEX(COA_KREDIT,MATCH(B62,KODEAKUN,0)),"")</f>
        <v>0</v>
      </c>
      <c r="I62" s="45">
        <f t="shared" si="11"/>
        <v>0</v>
      </c>
      <c r="J62" s="45">
        <f t="shared" si="12"/>
        <v>0</v>
      </c>
      <c r="K62" s="45">
        <f t="shared" si="13"/>
        <v>0</v>
      </c>
      <c r="L62" s="25">
        <f t="shared" si="14"/>
        <v>0</v>
      </c>
      <c r="M62" s="45">
        <f t="shared" si="15"/>
        <v>0</v>
      </c>
      <c r="N62" s="25">
        <f t="shared" si="16"/>
        <v>0</v>
      </c>
      <c r="O62" s="25">
        <f t="shared" si="17"/>
        <v>0</v>
      </c>
      <c r="P62" s="25">
        <f t="shared" si="18"/>
        <v>0</v>
      </c>
      <c r="R62" s="7">
        <f t="shared" si="10"/>
        <v>1</v>
      </c>
    </row>
    <row r="63" spans="2:18" s="123" customFormat="1" ht="15.75" customHeight="1" x14ac:dyDescent="0.2">
      <c r="B63" s="42">
        <f>IF(COA!B60="","",COA!B60)</f>
        <v>5540</v>
      </c>
      <c r="C63" s="43" t="str">
        <f t="array" ref="C63">IFERROR(INDEX(Nama_Akun,MATCH(B63,KODEAKUN,0)),"")</f>
        <v>Beban PDAM Workshop</v>
      </c>
      <c r="D63" s="44"/>
      <c r="E63" s="44"/>
      <c r="F63" s="44"/>
      <c r="G63" s="45" t="str">
        <f t="array" ref="G63">IFERROR(INDEX(COA_DEBET,MATCH(B63,KODEAKUN,0)),"")</f>
        <v/>
      </c>
      <c r="H63" s="45" t="str">
        <f t="array" ref="H63">IFERROR(INDEX(COA_KREDIT,MATCH(B63,KODEAKUN,0)),"")</f>
        <v/>
      </c>
      <c r="I63" s="45">
        <f t="shared" si="11"/>
        <v>0</v>
      </c>
      <c r="J63" s="45">
        <f t="shared" si="12"/>
        <v>0</v>
      </c>
      <c r="K63" s="45">
        <f t="shared" si="13"/>
        <v>0</v>
      </c>
      <c r="L63" s="25">
        <f t="shared" si="14"/>
        <v>0</v>
      </c>
      <c r="M63" s="45">
        <f t="shared" si="15"/>
        <v>0</v>
      </c>
      <c r="N63" s="25">
        <f t="shared" si="16"/>
        <v>0</v>
      </c>
      <c r="O63" s="25">
        <f t="shared" si="17"/>
        <v>0</v>
      </c>
      <c r="P63" s="25">
        <f t="shared" si="18"/>
        <v>0</v>
      </c>
      <c r="R63" s="7">
        <f t="shared" ref="R63:R98" si="19">IF(AND(G148=0,H148=0,I148=0,J148=0,K148=0,L148=0,M148=0,N148=0,O148=0,P148=0),0,1)</f>
        <v>0</v>
      </c>
    </row>
    <row r="64" spans="2:18" s="123" customFormat="1" ht="15.75" customHeight="1" x14ac:dyDescent="0.2">
      <c r="B64" s="42">
        <f>IF(COA!B61="","",COA!B61)</f>
        <v>5550</v>
      </c>
      <c r="C64" s="43" t="str">
        <f t="array" ref="C64">IFERROR(INDEX(Nama_Akun,MATCH(B64,KODEAKUN,0)),"")</f>
        <v>Beban PDAM sortir</v>
      </c>
      <c r="D64" s="44"/>
      <c r="E64" s="44"/>
      <c r="F64" s="44"/>
      <c r="G64" s="45" t="str">
        <f t="array" ref="G64">IFERROR(INDEX(COA_DEBET,MATCH(B64,KODEAKUN,0)),"")</f>
        <v/>
      </c>
      <c r="H64" s="45" t="str">
        <f t="array" ref="H64">IFERROR(INDEX(COA_KREDIT,MATCH(B64,KODEAKUN,0)),"")</f>
        <v/>
      </c>
      <c r="I64" s="45">
        <f t="shared" si="11"/>
        <v>0</v>
      </c>
      <c r="J64" s="45">
        <f t="shared" si="12"/>
        <v>0</v>
      </c>
      <c r="K64" s="45">
        <f t="shared" si="13"/>
        <v>0</v>
      </c>
      <c r="L64" s="25">
        <f t="shared" si="14"/>
        <v>0</v>
      </c>
      <c r="M64" s="45">
        <f t="shared" si="15"/>
        <v>0</v>
      </c>
      <c r="N64" s="25">
        <f t="shared" si="16"/>
        <v>0</v>
      </c>
      <c r="O64" s="25">
        <f t="shared" si="17"/>
        <v>0</v>
      </c>
      <c r="P64" s="25">
        <f t="shared" si="18"/>
        <v>0</v>
      </c>
      <c r="R64" s="7">
        <f t="shared" si="19"/>
        <v>0</v>
      </c>
    </row>
    <row r="65" spans="2:18" s="123" customFormat="1" ht="15.75" customHeight="1" x14ac:dyDescent="0.2">
      <c r="B65" s="42">
        <f>IF(COA!B62="","",COA!B62)</f>
        <v>5560</v>
      </c>
      <c r="C65" s="43" t="str">
        <f t="array" ref="C65">IFERROR(INDEX(Nama_Akun,MATCH(B65,KODEAKUN,0)),"")</f>
        <v>Beban Wifi Office</v>
      </c>
      <c r="D65" s="44"/>
      <c r="E65" s="44"/>
      <c r="F65" s="44"/>
      <c r="G65" s="45" t="str">
        <f t="array" ref="G65">IFERROR(INDEX(COA_DEBET,MATCH(B65,KODEAKUN,0)),"")</f>
        <v/>
      </c>
      <c r="H65" s="45" t="str">
        <f t="array" ref="H65">IFERROR(INDEX(COA_KREDIT,MATCH(B65,KODEAKUN,0)),"")</f>
        <v/>
      </c>
      <c r="I65" s="45">
        <f t="shared" si="11"/>
        <v>0</v>
      </c>
      <c r="J65" s="45">
        <f t="shared" si="12"/>
        <v>0</v>
      </c>
      <c r="K65" s="45">
        <f t="shared" si="13"/>
        <v>0</v>
      </c>
      <c r="L65" s="25">
        <f t="shared" si="14"/>
        <v>0</v>
      </c>
      <c r="M65" s="45">
        <f t="shared" si="15"/>
        <v>0</v>
      </c>
      <c r="N65" s="25">
        <f t="shared" si="16"/>
        <v>0</v>
      </c>
      <c r="O65" s="25">
        <f t="shared" si="17"/>
        <v>0</v>
      </c>
      <c r="P65" s="25">
        <f t="shared" si="18"/>
        <v>0</v>
      </c>
      <c r="R65" s="7">
        <f t="shared" si="19"/>
        <v>0</v>
      </c>
    </row>
    <row r="66" spans="2:18" s="123" customFormat="1" ht="15.75" customHeight="1" x14ac:dyDescent="0.2">
      <c r="B66" s="42">
        <f>IF(COA!B63="","",COA!B63)</f>
        <v>5570</v>
      </c>
      <c r="C66" s="43" t="str">
        <f t="array" ref="C66">IFERROR(INDEX(Nama_Akun,MATCH(B66,KODEAKUN,0)),"")</f>
        <v>Beban Wifi Sortir</v>
      </c>
      <c r="D66" s="44"/>
      <c r="E66" s="44"/>
      <c r="F66" s="44"/>
      <c r="G66" s="45" t="str">
        <f t="array" ref="G66">IFERROR(INDEX(COA_DEBET,MATCH(B66,KODEAKUN,0)),"")</f>
        <v/>
      </c>
      <c r="H66" s="45" t="str">
        <f t="array" ref="H66">IFERROR(INDEX(COA_KREDIT,MATCH(B66,KODEAKUN,0)),"")</f>
        <v/>
      </c>
      <c r="I66" s="45">
        <f t="shared" si="11"/>
        <v>0</v>
      </c>
      <c r="J66" s="45">
        <f t="shared" si="12"/>
        <v>2333000</v>
      </c>
      <c r="K66" s="45">
        <f t="shared" si="13"/>
        <v>0</v>
      </c>
      <c r="L66" s="25">
        <f t="shared" si="14"/>
        <v>0</v>
      </c>
      <c r="M66" s="45">
        <f t="shared" si="15"/>
        <v>0</v>
      </c>
      <c r="N66" s="25">
        <f t="shared" si="16"/>
        <v>0</v>
      </c>
      <c r="O66" s="25">
        <f t="shared" si="17"/>
        <v>0</v>
      </c>
      <c r="P66" s="25">
        <f t="shared" si="18"/>
        <v>0</v>
      </c>
      <c r="R66" s="7">
        <f t="shared" si="19"/>
        <v>0</v>
      </c>
    </row>
    <row r="67" spans="2:18" s="123" customFormat="1" ht="15.75" customHeight="1" x14ac:dyDescent="0.2">
      <c r="B67" s="42">
        <f>IF(COA!B64="","",COA!B64)</f>
        <v>5580</v>
      </c>
      <c r="C67" s="43" t="str">
        <f t="array" ref="C67">IFERROR(INDEX(Nama_Akun,MATCH(B67,KODEAKUN,0)),"")</f>
        <v>Beban Wifi Workshop</v>
      </c>
      <c r="D67" s="44"/>
      <c r="E67" s="44"/>
      <c r="F67" s="44"/>
      <c r="G67" s="45" t="str">
        <f t="array" ref="G67">IFERROR(INDEX(COA_DEBET,MATCH(B67,KODEAKUN,0)),"")</f>
        <v/>
      </c>
      <c r="H67" s="45" t="str">
        <f t="array" ref="H67">IFERROR(INDEX(COA_KREDIT,MATCH(B67,KODEAKUN,0)),"")</f>
        <v/>
      </c>
      <c r="I67" s="45">
        <f t="shared" si="11"/>
        <v>0</v>
      </c>
      <c r="J67" s="45">
        <f t="shared" si="12"/>
        <v>0</v>
      </c>
      <c r="K67" s="45">
        <f t="shared" si="13"/>
        <v>0</v>
      </c>
      <c r="L67" s="25">
        <f t="shared" si="14"/>
        <v>0</v>
      </c>
      <c r="M67" s="45">
        <f t="shared" si="15"/>
        <v>0</v>
      </c>
      <c r="N67" s="25">
        <f t="shared" si="16"/>
        <v>0</v>
      </c>
      <c r="O67" s="25">
        <f t="shared" si="17"/>
        <v>0</v>
      </c>
      <c r="P67" s="25">
        <f t="shared" si="18"/>
        <v>0</v>
      </c>
      <c r="R67" s="7">
        <f t="shared" si="19"/>
        <v>0</v>
      </c>
    </row>
    <row r="68" spans="2:18" s="123" customFormat="1" ht="15.75" customHeight="1" x14ac:dyDescent="0.2">
      <c r="B68" s="42">
        <f>IF(COA!B65="","",COA!B65)</f>
        <v>5600</v>
      </c>
      <c r="C68" s="43" t="str">
        <f t="array" ref="C68">IFERROR(INDEX(Nama_Akun,MATCH(B68,KODEAKUN,0)),"")</f>
        <v>Sewa Tempat Office</v>
      </c>
      <c r="D68" s="44"/>
      <c r="E68" s="44"/>
      <c r="F68" s="44"/>
      <c r="G68" s="45" t="str">
        <f t="array" ref="G68">IFERROR(INDEX(COA_DEBET,MATCH(B68,KODEAKUN,0)),"")</f>
        <v/>
      </c>
      <c r="H68" s="45" t="str">
        <f t="array" ref="H68">IFERROR(INDEX(COA_KREDIT,MATCH(B68,KODEAKUN,0)),"")</f>
        <v/>
      </c>
      <c r="I68" s="45">
        <f t="shared" si="11"/>
        <v>0</v>
      </c>
      <c r="J68" s="45">
        <f t="shared" si="12"/>
        <v>25000000</v>
      </c>
      <c r="K68" s="45">
        <f t="shared" si="13"/>
        <v>0</v>
      </c>
      <c r="L68" s="25">
        <f t="shared" si="14"/>
        <v>0</v>
      </c>
      <c r="M68" s="45">
        <f t="shared" si="15"/>
        <v>0</v>
      </c>
      <c r="N68" s="25">
        <f t="shared" si="16"/>
        <v>0</v>
      </c>
      <c r="O68" s="25">
        <f t="shared" si="17"/>
        <v>0</v>
      </c>
      <c r="P68" s="25">
        <f t="shared" si="18"/>
        <v>0</v>
      </c>
      <c r="R68" s="7">
        <f t="shared" si="19"/>
        <v>0</v>
      </c>
    </row>
    <row r="69" spans="2:18" s="123" customFormat="1" ht="15.75" customHeight="1" x14ac:dyDescent="0.2">
      <c r="B69" s="42">
        <f>IF(COA!B66="","",COA!B66)</f>
        <v>5610</v>
      </c>
      <c r="C69" s="43" t="str">
        <f t="array" ref="C69">IFERROR(INDEX(Nama_Akun,MATCH(B69,KODEAKUN,0)),"")</f>
        <v>Sewa Tempat sortir</v>
      </c>
      <c r="D69" s="44"/>
      <c r="E69" s="44"/>
      <c r="F69" s="44"/>
      <c r="G69" s="45" t="str">
        <f t="array" ref="G69">IFERROR(INDEX(COA_DEBET,MATCH(B69,KODEAKUN,0)),"")</f>
        <v/>
      </c>
      <c r="H69" s="45" t="str">
        <f t="array" ref="H69">IFERROR(INDEX(COA_KREDIT,MATCH(B69,KODEAKUN,0)),"")</f>
        <v/>
      </c>
      <c r="I69" s="45">
        <f t="shared" si="11"/>
        <v>0</v>
      </c>
      <c r="J69" s="45">
        <f t="shared" si="12"/>
        <v>0</v>
      </c>
      <c r="K69" s="45">
        <f t="shared" si="13"/>
        <v>0</v>
      </c>
      <c r="L69" s="25">
        <f t="shared" si="14"/>
        <v>0</v>
      </c>
      <c r="M69" s="45">
        <f t="shared" si="15"/>
        <v>0</v>
      </c>
      <c r="N69" s="25">
        <f t="shared" si="16"/>
        <v>0</v>
      </c>
      <c r="O69" s="25">
        <f t="shared" si="17"/>
        <v>0</v>
      </c>
      <c r="P69" s="25">
        <f t="shared" si="18"/>
        <v>0</v>
      </c>
      <c r="R69" s="7">
        <f t="shared" si="19"/>
        <v>0</v>
      </c>
    </row>
    <row r="70" spans="2:18" s="123" customFormat="1" ht="15.75" customHeight="1" x14ac:dyDescent="0.2">
      <c r="B70" s="42">
        <f>IF(COA!B67="","",COA!B67)</f>
        <v>5620</v>
      </c>
      <c r="C70" s="43" t="str">
        <f t="array" ref="C70">IFERROR(INDEX(Nama_Akun,MATCH(B70,KODEAKUN,0)),"")</f>
        <v>sewa tempat shoepolice</v>
      </c>
      <c r="D70" s="44"/>
      <c r="E70" s="44"/>
      <c r="F70" s="44"/>
      <c r="G70" s="45" t="str">
        <f t="array" ref="G70">IFERROR(INDEX(COA_DEBET,MATCH(B70,KODEAKUN,0)),"")</f>
        <v/>
      </c>
      <c r="H70" s="45" t="str">
        <f t="array" ref="H70">IFERROR(INDEX(COA_KREDIT,MATCH(B70,KODEAKUN,0)),"")</f>
        <v/>
      </c>
      <c r="I70" s="45">
        <f t="shared" si="11"/>
        <v>0</v>
      </c>
      <c r="J70" s="45">
        <f t="shared" si="12"/>
        <v>0</v>
      </c>
      <c r="K70" s="45">
        <f t="shared" si="13"/>
        <v>0</v>
      </c>
      <c r="L70" s="25">
        <f t="shared" si="14"/>
        <v>0</v>
      </c>
      <c r="M70" s="45">
        <f t="shared" si="15"/>
        <v>0</v>
      </c>
      <c r="N70" s="25">
        <f t="shared" si="16"/>
        <v>0</v>
      </c>
      <c r="O70" s="25">
        <f t="shared" si="17"/>
        <v>0</v>
      </c>
      <c r="P70" s="25">
        <f t="shared" si="18"/>
        <v>0</v>
      </c>
      <c r="R70" s="7">
        <f t="shared" si="19"/>
        <v>0</v>
      </c>
    </row>
    <row r="71" spans="2:18" s="123" customFormat="1" ht="15.75" customHeight="1" x14ac:dyDescent="0.2">
      <c r="B71" s="42">
        <f>IF(COA!B68="","",COA!B68)</f>
        <v>5630</v>
      </c>
      <c r="C71" s="43" t="str">
        <f t="array" ref="C71">IFERROR(INDEX(Nama_Akun,MATCH(B71,KODEAKUN,0)),"")</f>
        <v>Sewa Tempat Workshop</v>
      </c>
      <c r="D71" s="44"/>
      <c r="E71" s="44"/>
      <c r="F71" s="44"/>
      <c r="G71" s="45" t="str">
        <f t="array" ref="G71">IFERROR(INDEX(COA_DEBET,MATCH(B71,KODEAKUN,0)),"")</f>
        <v/>
      </c>
      <c r="H71" s="45" t="str">
        <f t="array" ref="H71">IFERROR(INDEX(COA_KREDIT,MATCH(B71,KODEAKUN,0)),"")</f>
        <v/>
      </c>
      <c r="I71" s="45">
        <f t="shared" si="11"/>
        <v>0</v>
      </c>
      <c r="J71" s="45">
        <f t="shared" si="12"/>
        <v>2750000</v>
      </c>
      <c r="K71" s="45">
        <f t="shared" si="13"/>
        <v>0</v>
      </c>
      <c r="L71" s="25">
        <f t="shared" si="14"/>
        <v>0</v>
      </c>
      <c r="M71" s="45">
        <f t="shared" si="15"/>
        <v>0</v>
      </c>
      <c r="N71" s="25">
        <f t="shared" si="16"/>
        <v>0</v>
      </c>
      <c r="O71" s="25">
        <f t="shared" si="17"/>
        <v>0</v>
      </c>
      <c r="P71" s="25">
        <f t="shared" si="18"/>
        <v>0</v>
      </c>
      <c r="R71" s="7">
        <f t="shared" si="19"/>
        <v>0</v>
      </c>
    </row>
    <row r="72" spans="2:18" s="123" customFormat="1" ht="15.75" customHeight="1" x14ac:dyDescent="0.2">
      <c r="B72" s="42">
        <f>IF(COA!B69="","",COA!B69)</f>
        <v>6000</v>
      </c>
      <c r="C72" s="43" t="str">
        <f t="array" ref="C72">IFERROR(INDEX(Nama_Akun,MATCH(B72,KODEAKUN,0)),"")</f>
        <v>Beban Transport/ Bensin/ Parkir</v>
      </c>
      <c r="D72" s="44"/>
      <c r="E72" s="44"/>
      <c r="F72" s="44"/>
      <c r="G72" s="45" t="str">
        <f t="array" ref="G72">IFERROR(INDEX(COA_DEBET,MATCH(B72,KODEAKUN,0)),"")</f>
        <v/>
      </c>
      <c r="H72" s="45" t="str">
        <f t="array" ref="H72">IFERROR(INDEX(COA_KREDIT,MATCH(B72,KODEAKUN,0)),"")</f>
        <v/>
      </c>
      <c r="I72" s="45">
        <f t="shared" si="11"/>
        <v>0</v>
      </c>
      <c r="J72" s="45">
        <f t="shared" si="12"/>
        <v>120000</v>
      </c>
      <c r="K72" s="45">
        <f t="shared" si="13"/>
        <v>0</v>
      </c>
      <c r="L72" s="25">
        <f t="shared" si="14"/>
        <v>0</v>
      </c>
      <c r="M72" s="45">
        <f t="shared" si="15"/>
        <v>0</v>
      </c>
      <c r="N72" s="25">
        <f t="shared" si="16"/>
        <v>0</v>
      </c>
      <c r="O72" s="25">
        <f t="shared" si="17"/>
        <v>0</v>
      </c>
      <c r="P72" s="25">
        <f t="shared" si="18"/>
        <v>0</v>
      </c>
      <c r="R72" s="7">
        <f t="shared" si="19"/>
        <v>0</v>
      </c>
    </row>
    <row r="73" spans="2:18" s="123" customFormat="1" ht="15.75" customHeight="1" x14ac:dyDescent="0.2">
      <c r="B73" s="42">
        <f>IF(COA!B70="","",COA!B70)</f>
        <v>6010</v>
      </c>
      <c r="C73" s="43" t="str">
        <f t="array" ref="C73">IFERROR(INDEX(Nama_Akun,MATCH(B73,KODEAKUN,0)),"")</f>
        <v>Beban Iuran Sampah &amp; Keamanan</v>
      </c>
      <c r="D73" s="44"/>
      <c r="E73" s="44"/>
      <c r="F73" s="44"/>
      <c r="G73" s="45" t="str">
        <f t="array" ref="G73">IFERROR(INDEX(COA_DEBET,MATCH(B73,KODEAKUN,0)),"")</f>
        <v/>
      </c>
      <c r="H73" s="45" t="str">
        <f t="array" ref="H73">IFERROR(INDEX(COA_KREDIT,MATCH(B73,KODEAKUN,0)),"")</f>
        <v/>
      </c>
      <c r="I73" s="45">
        <f t="shared" si="11"/>
        <v>0</v>
      </c>
      <c r="J73" s="45">
        <f t="shared" si="12"/>
        <v>0</v>
      </c>
      <c r="K73" s="45">
        <f t="shared" si="13"/>
        <v>0</v>
      </c>
      <c r="L73" s="25">
        <f t="shared" si="14"/>
        <v>0</v>
      </c>
      <c r="M73" s="45">
        <f t="shared" si="15"/>
        <v>0</v>
      </c>
      <c r="N73" s="25">
        <f t="shared" si="16"/>
        <v>0</v>
      </c>
      <c r="O73" s="25">
        <f t="shared" si="17"/>
        <v>0</v>
      </c>
      <c r="P73" s="25">
        <f t="shared" si="18"/>
        <v>0</v>
      </c>
      <c r="R73" s="7">
        <f t="shared" si="19"/>
        <v>0</v>
      </c>
    </row>
    <row r="74" spans="2:18" s="123" customFormat="1" ht="15.75" customHeight="1" x14ac:dyDescent="0.2">
      <c r="B74" s="42">
        <f>IF(COA!B71="","",COA!B71)</f>
        <v>6020</v>
      </c>
      <c r="C74" s="43" t="str">
        <f t="array" ref="C74">IFERROR(INDEX(Nama_Akun,MATCH(B74,KODEAKUN,0)),"")</f>
        <v>Beban Iuran RT, RW</v>
      </c>
      <c r="D74" s="44"/>
      <c r="E74" s="44"/>
      <c r="F74" s="44"/>
      <c r="G74" s="45" t="str">
        <f t="array" ref="G74">IFERROR(INDEX(COA_DEBET,MATCH(B74,KODEAKUN,0)),"")</f>
        <v/>
      </c>
      <c r="H74" s="45" t="str">
        <f t="array" ref="H74">IFERROR(INDEX(COA_KREDIT,MATCH(B74,KODEAKUN,0)),"")</f>
        <v/>
      </c>
      <c r="I74" s="45">
        <f t="shared" si="11"/>
        <v>0</v>
      </c>
      <c r="J74" s="45">
        <f t="shared" si="12"/>
        <v>250000</v>
      </c>
      <c r="K74" s="45">
        <f t="shared" si="13"/>
        <v>0</v>
      </c>
      <c r="L74" s="25">
        <f t="shared" si="14"/>
        <v>0</v>
      </c>
      <c r="M74" s="45">
        <f t="shared" si="15"/>
        <v>0</v>
      </c>
      <c r="N74" s="25">
        <f t="shared" si="16"/>
        <v>0</v>
      </c>
      <c r="O74" s="25">
        <f t="shared" si="17"/>
        <v>0</v>
      </c>
      <c r="P74" s="25">
        <f t="shared" si="18"/>
        <v>0</v>
      </c>
      <c r="R74" s="7">
        <f t="shared" si="19"/>
        <v>0</v>
      </c>
    </row>
    <row r="75" spans="2:18" s="123" customFormat="1" ht="15.75" customHeight="1" x14ac:dyDescent="0.2">
      <c r="B75" s="42">
        <f>IF(COA!B72="","",COA!B72)</f>
        <v>6030</v>
      </c>
      <c r="C75" s="43" t="str">
        <f t="array" ref="C75">IFERROR(INDEX(Nama_Akun,MATCH(B75,KODEAKUN,0)),"")</f>
        <v>Beban ATK</v>
      </c>
      <c r="D75" s="44"/>
      <c r="E75" s="44"/>
      <c r="F75" s="44"/>
      <c r="G75" s="45" t="str">
        <f t="array" ref="G75">IFERROR(INDEX(COA_DEBET,MATCH(B75,KODEAKUN,0)),"")</f>
        <v/>
      </c>
      <c r="H75" s="45" t="str">
        <f t="array" ref="H75">IFERROR(INDEX(COA_KREDIT,MATCH(B75,KODEAKUN,0)),"")</f>
        <v/>
      </c>
      <c r="I75" s="45">
        <f t="shared" si="11"/>
        <v>0</v>
      </c>
      <c r="J75" s="45">
        <f t="shared" si="12"/>
        <v>551500</v>
      </c>
      <c r="K75" s="45">
        <f t="shared" si="13"/>
        <v>0</v>
      </c>
      <c r="L75" s="25">
        <f t="shared" si="14"/>
        <v>0</v>
      </c>
      <c r="M75" s="45">
        <f t="shared" si="15"/>
        <v>0</v>
      </c>
      <c r="N75" s="25">
        <f t="shared" si="16"/>
        <v>0</v>
      </c>
      <c r="O75" s="25">
        <f t="shared" si="17"/>
        <v>0</v>
      </c>
      <c r="P75" s="25">
        <f t="shared" si="18"/>
        <v>0</v>
      </c>
      <c r="R75" s="7">
        <f t="shared" si="19"/>
        <v>0</v>
      </c>
    </row>
    <row r="76" spans="2:18" s="123" customFormat="1" ht="15.75" customHeight="1" x14ac:dyDescent="0.2">
      <c r="B76" s="42">
        <f>IF(COA!B73="","",COA!B73)</f>
        <v>6040</v>
      </c>
      <c r="C76" s="43" t="str">
        <f t="array" ref="C76">IFERROR(INDEX(Nama_Akun,MATCH(B76,KODEAKUN,0)),"")</f>
        <v>Beban Iklan Loker</v>
      </c>
      <c r="D76" s="44"/>
      <c r="E76" s="44"/>
      <c r="F76" s="44"/>
      <c r="G76" s="45" t="str">
        <f t="array" ref="G76">IFERROR(INDEX(COA_DEBET,MATCH(B76,KODEAKUN,0)),"")</f>
        <v/>
      </c>
      <c r="H76" s="45" t="str">
        <f t="array" ref="H76">IFERROR(INDEX(COA_KREDIT,MATCH(B76,KODEAKUN,0)),"")</f>
        <v/>
      </c>
      <c r="I76" s="45">
        <f t="shared" si="11"/>
        <v>0</v>
      </c>
      <c r="J76" s="45">
        <f t="shared" si="12"/>
        <v>159000</v>
      </c>
      <c r="K76" s="45">
        <f t="shared" si="13"/>
        <v>0</v>
      </c>
      <c r="L76" s="25">
        <f t="shared" si="14"/>
        <v>0</v>
      </c>
      <c r="M76" s="45">
        <f t="shared" si="15"/>
        <v>0</v>
      </c>
      <c r="N76" s="25">
        <f t="shared" si="16"/>
        <v>0</v>
      </c>
      <c r="O76" s="25">
        <f t="shared" si="17"/>
        <v>0</v>
      </c>
      <c r="P76" s="25">
        <f t="shared" si="18"/>
        <v>0</v>
      </c>
      <c r="R76" s="7">
        <f t="shared" si="19"/>
        <v>0</v>
      </c>
    </row>
    <row r="77" spans="2:18" s="123" customFormat="1" ht="15.75" customHeight="1" x14ac:dyDescent="0.2">
      <c r="B77" s="42">
        <f>IF(COA!B74="","",COA!B74)</f>
        <v>6050</v>
      </c>
      <c r="C77" s="43" t="str">
        <f t="array" ref="C77">IFERROR(INDEX(Nama_Akun,MATCH(B77,KODEAKUN,0)),"")</f>
        <v>Beban iuran WS</v>
      </c>
      <c r="D77" s="44"/>
      <c r="E77" s="44"/>
      <c r="F77" s="44"/>
      <c r="G77" s="45" t="str">
        <f t="array" ref="G77">IFERROR(INDEX(COA_DEBET,MATCH(B77,KODEAKUN,0)),"")</f>
        <v/>
      </c>
      <c r="H77" s="45" t="str">
        <f t="array" ref="H77">IFERROR(INDEX(COA_KREDIT,MATCH(B77,KODEAKUN,0)),"")</f>
        <v/>
      </c>
      <c r="I77" s="45">
        <f t="shared" si="11"/>
        <v>0</v>
      </c>
      <c r="J77" s="45">
        <f t="shared" si="12"/>
        <v>0</v>
      </c>
      <c r="K77" s="45">
        <f t="shared" si="13"/>
        <v>0</v>
      </c>
      <c r="L77" s="25">
        <f t="shared" si="14"/>
        <v>0</v>
      </c>
      <c r="M77" s="45">
        <f t="shared" si="15"/>
        <v>0</v>
      </c>
      <c r="N77" s="25">
        <f t="shared" si="16"/>
        <v>0</v>
      </c>
      <c r="O77" s="25">
        <f t="shared" si="17"/>
        <v>0</v>
      </c>
      <c r="P77" s="25">
        <f t="shared" si="18"/>
        <v>0</v>
      </c>
      <c r="R77" s="7">
        <f t="shared" si="19"/>
        <v>0</v>
      </c>
    </row>
    <row r="78" spans="2:18" s="123" customFormat="1" ht="15.75" customHeight="1" x14ac:dyDescent="0.2">
      <c r="B78" s="42">
        <f>IF(COA!B75="","",COA!B75)</f>
        <v>6060</v>
      </c>
      <c r="C78" s="43" t="str">
        <f t="array" ref="C78">IFERROR(INDEX(Nama_Akun,MATCH(B78,KODEAKUN,0)),"")</f>
        <v>Beban Konsultan</v>
      </c>
      <c r="D78" s="44"/>
      <c r="E78" s="44"/>
      <c r="F78" s="44"/>
      <c r="G78" s="45" t="str">
        <f t="array" ref="G78">IFERROR(INDEX(COA_DEBET,MATCH(B78,KODEAKUN,0)),"")</f>
        <v/>
      </c>
      <c r="H78" s="45" t="str">
        <f t="array" ref="H78">IFERROR(INDEX(COA_KREDIT,MATCH(B78,KODEAKUN,0)),"")</f>
        <v/>
      </c>
      <c r="I78" s="45">
        <f t="shared" si="11"/>
        <v>0</v>
      </c>
      <c r="J78" s="45">
        <f t="shared" si="12"/>
        <v>0</v>
      </c>
      <c r="K78" s="45">
        <f t="shared" si="13"/>
        <v>0</v>
      </c>
      <c r="L78" s="25">
        <f t="shared" si="14"/>
        <v>0</v>
      </c>
      <c r="M78" s="45">
        <f t="shared" si="15"/>
        <v>0</v>
      </c>
      <c r="N78" s="25">
        <f t="shared" si="16"/>
        <v>0</v>
      </c>
      <c r="O78" s="25">
        <f t="shared" si="17"/>
        <v>0</v>
      </c>
      <c r="P78" s="25">
        <f t="shared" si="18"/>
        <v>0</v>
      </c>
      <c r="R78" s="7">
        <f t="shared" si="19"/>
        <v>0</v>
      </c>
    </row>
    <row r="79" spans="2:18" s="123" customFormat="1" ht="15.75" customHeight="1" x14ac:dyDescent="0.2">
      <c r="B79" s="42">
        <f>IF(COA!B76="","",COA!B76)</f>
        <v>6070</v>
      </c>
      <c r="C79" s="43" t="str">
        <f t="array" ref="C79">IFERROR(INDEX(Nama_Akun,MATCH(B79,KODEAKUN,0)),"")</f>
        <v>Beban CSR</v>
      </c>
      <c r="D79" s="44"/>
      <c r="E79" s="44"/>
      <c r="F79" s="44"/>
      <c r="G79" s="45" t="str">
        <f t="array" ref="G79">IFERROR(INDEX(COA_DEBET,MATCH(B79,KODEAKUN,0)),"")</f>
        <v/>
      </c>
      <c r="H79" s="45" t="str">
        <f t="array" ref="H79">IFERROR(INDEX(COA_KREDIT,MATCH(B79,KODEAKUN,0)),"")</f>
        <v/>
      </c>
      <c r="I79" s="45">
        <f t="shared" si="11"/>
        <v>0</v>
      </c>
      <c r="J79" s="45">
        <f t="shared" si="12"/>
        <v>0</v>
      </c>
      <c r="K79" s="45">
        <f t="shared" si="13"/>
        <v>0</v>
      </c>
      <c r="L79" s="25">
        <f t="shared" si="14"/>
        <v>0</v>
      </c>
      <c r="M79" s="45">
        <f t="shared" si="15"/>
        <v>0</v>
      </c>
      <c r="N79" s="25">
        <f t="shared" si="16"/>
        <v>0</v>
      </c>
      <c r="O79" s="25">
        <f t="shared" si="17"/>
        <v>0</v>
      </c>
      <c r="P79" s="25">
        <f t="shared" si="18"/>
        <v>0</v>
      </c>
      <c r="R79" s="7">
        <f t="shared" si="19"/>
        <v>0</v>
      </c>
    </row>
    <row r="80" spans="2:18" s="123" customFormat="1" ht="15.75" customHeight="1" x14ac:dyDescent="0.2">
      <c r="B80" s="42">
        <f>IF(COA!B77="","",COA!B77)</f>
        <v>6080</v>
      </c>
      <c r="C80" s="43" t="str">
        <f t="array" ref="C80">IFERROR(INDEX(Nama_Akun,MATCH(B80,KODEAKUN,0)),"")</f>
        <v>Beban dapur</v>
      </c>
      <c r="D80" s="44"/>
      <c r="E80" s="44"/>
      <c r="F80" s="44"/>
      <c r="G80" s="45" t="str">
        <f t="array" ref="G80">IFERROR(INDEX(COA_DEBET,MATCH(B80,KODEAKUN,0)),"")</f>
        <v/>
      </c>
      <c r="H80" s="45" t="str">
        <f t="array" ref="H80">IFERROR(INDEX(COA_KREDIT,MATCH(B80,KODEAKUN,0)),"")</f>
        <v/>
      </c>
      <c r="I80" s="45">
        <f t="shared" si="11"/>
        <v>0</v>
      </c>
      <c r="J80" s="45">
        <f t="shared" si="12"/>
        <v>251500</v>
      </c>
      <c r="K80" s="45">
        <f t="shared" si="13"/>
        <v>0</v>
      </c>
      <c r="L80" s="25">
        <f t="shared" si="14"/>
        <v>0</v>
      </c>
      <c r="M80" s="45">
        <f t="shared" si="15"/>
        <v>0</v>
      </c>
      <c r="N80" s="25">
        <f t="shared" si="16"/>
        <v>0</v>
      </c>
      <c r="O80" s="25">
        <f t="shared" si="17"/>
        <v>0</v>
      </c>
      <c r="P80" s="25">
        <f t="shared" si="18"/>
        <v>0</v>
      </c>
      <c r="R80" s="7">
        <f t="shared" si="19"/>
        <v>0</v>
      </c>
    </row>
    <row r="81" spans="2:18" s="123" customFormat="1" ht="15.75" customHeight="1" x14ac:dyDescent="0.2">
      <c r="B81" s="42">
        <f>IF(COA!B78="","",COA!B78)</f>
        <v>6090</v>
      </c>
      <c r="C81" s="43" t="str">
        <f t="array" ref="C81">IFERROR(INDEX(Nama_Akun,MATCH(B81,KODEAKUN,0)),"")</f>
        <v>Beban pemeliharaan kebersihan</v>
      </c>
      <c r="D81" s="44"/>
      <c r="E81" s="44"/>
      <c r="F81" s="44"/>
      <c r="G81" s="45" t="str">
        <f t="array" ref="G81">IFERROR(INDEX(COA_DEBET,MATCH(B81,KODEAKUN,0)),"")</f>
        <v/>
      </c>
      <c r="H81" s="45" t="str">
        <f t="array" ref="H81">IFERROR(INDEX(COA_KREDIT,MATCH(B81,KODEAKUN,0)),"")</f>
        <v/>
      </c>
      <c r="I81" s="45">
        <f t="shared" si="11"/>
        <v>0</v>
      </c>
      <c r="J81" s="45">
        <f t="shared" si="12"/>
        <v>164060</v>
      </c>
      <c r="K81" s="45">
        <f t="shared" si="13"/>
        <v>0</v>
      </c>
      <c r="L81" s="25">
        <f t="shared" si="14"/>
        <v>0</v>
      </c>
      <c r="M81" s="45">
        <f t="shared" si="15"/>
        <v>0</v>
      </c>
      <c r="N81" s="25">
        <f t="shared" si="16"/>
        <v>0</v>
      </c>
      <c r="O81" s="25">
        <f t="shared" si="17"/>
        <v>0</v>
      </c>
      <c r="P81" s="25">
        <f t="shared" si="18"/>
        <v>0</v>
      </c>
      <c r="R81" s="7">
        <f t="shared" si="19"/>
        <v>0</v>
      </c>
    </row>
    <row r="82" spans="2:18" s="123" customFormat="1" ht="15.75" customHeight="1" x14ac:dyDescent="0.2">
      <c r="B82" s="42">
        <f>IF(COA!B79="","",COA!B79)</f>
        <v>6100</v>
      </c>
      <c r="C82" s="43" t="str">
        <f t="array" ref="C82">IFERROR(INDEX(Nama_Akun,MATCH(B82,KODEAKUN,0)),"")</f>
        <v>beban lainnya</v>
      </c>
      <c r="D82" s="44"/>
      <c r="E82" s="44"/>
      <c r="F82" s="44"/>
      <c r="G82" s="45" t="str">
        <f t="array" ref="G82">IFERROR(INDEX(COA_DEBET,MATCH(B82,KODEAKUN,0)),"")</f>
        <v/>
      </c>
      <c r="H82" s="45" t="str">
        <f t="array" ref="H82">IFERROR(INDEX(COA_KREDIT,MATCH(B82,KODEAKUN,0)),"")</f>
        <v/>
      </c>
      <c r="I82" s="45">
        <f t="shared" si="11"/>
        <v>0</v>
      </c>
      <c r="J82" s="45">
        <f t="shared" si="12"/>
        <v>35000</v>
      </c>
      <c r="K82" s="45">
        <f t="shared" si="13"/>
        <v>0</v>
      </c>
      <c r="L82" s="25">
        <f t="shared" si="14"/>
        <v>0</v>
      </c>
      <c r="M82" s="45">
        <f t="shared" si="15"/>
        <v>0</v>
      </c>
      <c r="N82" s="25">
        <f t="shared" si="16"/>
        <v>0</v>
      </c>
      <c r="O82" s="25">
        <f t="shared" si="17"/>
        <v>0</v>
      </c>
      <c r="P82" s="25">
        <f t="shared" si="18"/>
        <v>0</v>
      </c>
      <c r="R82" s="7">
        <f t="shared" si="19"/>
        <v>0</v>
      </c>
    </row>
    <row r="83" spans="2:18" s="123" customFormat="1" ht="15.75" customHeight="1" x14ac:dyDescent="0.2">
      <c r="B83" s="42">
        <f>IF(COA!B80="","",COA!B80)</f>
        <v>6110</v>
      </c>
      <c r="C83" s="43" t="str">
        <f t="array" ref="C83">IFERROR(INDEX(Nama_Akun,MATCH(B83,KODEAKUN,0)),"")</f>
        <v>Beban coway oma</v>
      </c>
      <c r="D83" s="44"/>
      <c r="E83" s="44"/>
      <c r="F83" s="44"/>
      <c r="G83" s="45" t="str">
        <f t="array" ref="G83">IFERROR(INDEX(COA_DEBET,MATCH(B83,KODEAKUN,0)),"")</f>
        <v/>
      </c>
      <c r="H83" s="45" t="str">
        <f t="array" ref="H83">IFERROR(INDEX(COA_KREDIT,MATCH(B83,KODEAKUN,0)),"")</f>
        <v/>
      </c>
      <c r="I83" s="45">
        <f t="shared" si="11"/>
        <v>0</v>
      </c>
      <c r="J83" s="45">
        <f t="shared" si="12"/>
        <v>0</v>
      </c>
      <c r="K83" s="45">
        <f t="shared" si="13"/>
        <v>0</v>
      </c>
      <c r="L83" s="25">
        <f t="shared" si="14"/>
        <v>0</v>
      </c>
      <c r="M83" s="45">
        <f t="shared" si="15"/>
        <v>0</v>
      </c>
      <c r="N83" s="25">
        <f t="shared" si="16"/>
        <v>0</v>
      </c>
      <c r="O83" s="25">
        <f t="shared" si="17"/>
        <v>0</v>
      </c>
      <c r="P83" s="25">
        <f t="shared" si="18"/>
        <v>0</v>
      </c>
      <c r="R83" s="7">
        <f t="shared" si="19"/>
        <v>0</v>
      </c>
    </row>
    <row r="84" spans="2:18" s="123" customFormat="1" ht="15.75" customHeight="1" x14ac:dyDescent="0.2">
      <c r="B84" s="42">
        <f>IF(COA!B81="","",COA!B81)</f>
        <v>6120</v>
      </c>
      <c r="C84" s="43" t="str">
        <f t="array" ref="C84">IFERROR(INDEX(Nama_Akun,MATCH(B84,KODEAKUN,0)),"")</f>
        <v xml:space="preserve">kompensasi </v>
      </c>
      <c r="D84" s="44"/>
      <c r="E84" s="44"/>
      <c r="F84" s="44"/>
      <c r="G84" s="45" t="str">
        <f t="array" ref="G84">IFERROR(INDEX(COA_DEBET,MATCH(B84,KODEAKUN,0)),"")</f>
        <v/>
      </c>
      <c r="H84" s="45" t="str">
        <f t="array" ref="H84">IFERROR(INDEX(COA_KREDIT,MATCH(B84,KODEAKUN,0)),"")</f>
        <v/>
      </c>
      <c r="I84" s="45">
        <f t="shared" si="11"/>
        <v>0</v>
      </c>
      <c r="J84" s="45">
        <f t="shared" si="12"/>
        <v>192500</v>
      </c>
      <c r="K84" s="45">
        <f t="shared" si="13"/>
        <v>0</v>
      </c>
      <c r="L84" s="25">
        <f t="shared" si="14"/>
        <v>0</v>
      </c>
      <c r="M84" s="45">
        <f t="shared" si="15"/>
        <v>0</v>
      </c>
      <c r="N84" s="25">
        <f t="shared" si="16"/>
        <v>0</v>
      </c>
      <c r="O84" s="25">
        <f t="shared" si="17"/>
        <v>0</v>
      </c>
      <c r="P84" s="25">
        <f t="shared" si="18"/>
        <v>0</v>
      </c>
      <c r="R84" s="7">
        <f t="shared" si="19"/>
        <v>0</v>
      </c>
    </row>
    <row r="85" spans="2:18" s="123" customFormat="1" ht="15.75" customHeight="1" x14ac:dyDescent="0.2">
      <c r="B85" s="42">
        <f>IF(COA!B82="","",COA!B82)</f>
        <v>6130</v>
      </c>
      <c r="C85" s="43" t="str">
        <f t="array" ref="C85">IFERROR(INDEX(Nama_Akun,MATCH(B85,KODEAKUN,0)),"")</f>
        <v>pemeliharaan perlengkapan</v>
      </c>
      <c r="D85" s="44"/>
      <c r="E85" s="44"/>
      <c r="F85" s="44"/>
      <c r="G85" s="45" t="str">
        <f t="array" ref="G85">IFERROR(INDEX(COA_DEBET,MATCH(B85,KODEAKUN,0)),"")</f>
        <v/>
      </c>
      <c r="H85" s="45" t="str">
        <f t="array" ref="H85">IFERROR(INDEX(COA_KREDIT,MATCH(B85,KODEAKUN,0)),"")</f>
        <v/>
      </c>
      <c r="I85" s="45">
        <f t="shared" si="11"/>
        <v>0</v>
      </c>
      <c r="J85" s="45">
        <f t="shared" si="12"/>
        <v>1594500</v>
      </c>
      <c r="K85" s="45">
        <f t="shared" si="13"/>
        <v>0</v>
      </c>
      <c r="L85" s="25">
        <f t="shared" si="14"/>
        <v>0</v>
      </c>
      <c r="M85" s="45">
        <f t="shared" si="15"/>
        <v>0</v>
      </c>
      <c r="N85" s="25">
        <f t="shared" si="16"/>
        <v>0</v>
      </c>
      <c r="O85" s="25">
        <f t="shared" si="17"/>
        <v>0</v>
      </c>
      <c r="P85" s="25">
        <f t="shared" si="18"/>
        <v>0</v>
      </c>
      <c r="R85" s="7">
        <f t="shared" si="19"/>
        <v>0</v>
      </c>
    </row>
    <row r="86" spans="2:18" s="123" customFormat="1" ht="15.75" customHeight="1" x14ac:dyDescent="0.2">
      <c r="B86" s="42">
        <f>IF(COA!B83="","",COA!B83)</f>
        <v>7000</v>
      </c>
      <c r="C86" s="43" t="str">
        <f t="array" ref="C86">IFERROR(INDEX(Nama_Akun,MATCH(B86,KODEAKUN,0)),"")</f>
        <v>Pendapatan Bunga Bank</v>
      </c>
      <c r="D86" s="44"/>
      <c r="E86" s="44"/>
      <c r="F86" s="44"/>
      <c r="G86" s="45" t="str">
        <f t="array" ref="G86">IFERROR(INDEX(COA_DEBET,MATCH(B86,KODEAKUN,0)),"")</f>
        <v/>
      </c>
      <c r="H86" s="45" t="str">
        <f t="array" ref="H86">IFERROR(INDEX(COA_KREDIT,MATCH(B86,KODEAKUN,0)),"")</f>
        <v/>
      </c>
      <c r="I86" s="45">
        <f t="shared" si="11"/>
        <v>0</v>
      </c>
      <c r="J86" s="45">
        <f t="shared" si="12"/>
        <v>0</v>
      </c>
      <c r="K86" s="45">
        <f t="shared" si="13"/>
        <v>0</v>
      </c>
      <c r="L86" s="25">
        <f t="shared" si="14"/>
        <v>0</v>
      </c>
      <c r="M86" s="45">
        <f t="shared" si="15"/>
        <v>0</v>
      </c>
      <c r="N86" s="25">
        <f t="shared" si="16"/>
        <v>0</v>
      </c>
      <c r="O86" s="25">
        <f t="shared" si="17"/>
        <v>0</v>
      </c>
      <c r="P86" s="25">
        <f t="shared" si="18"/>
        <v>0</v>
      </c>
      <c r="R86" s="7">
        <f t="shared" si="19"/>
        <v>0</v>
      </c>
    </row>
    <row r="87" spans="2:18" s="123" customFormat="1" ht="15.75" customHeight="1" x14ac:dyDescent="0.2">
      <c r="B87" s="42">
        <f>IF(COA!B84="","",COA!B84)</f>
        <v>8000</v>
      </c>
      <c r="C87" s="43" t="str">
        <f t="array" ref="C87">IFERROR(INDEX(Nama_Akun,MATCH(B87,KODEAKUN,0)),"")</f>
        <v>Biaya Admin Bank</v>
      </c>
      <c r="D87" s="44"/>
      <c r="E87" s="44"/>
      <c r="F87" s="44"/>
      <c r="G87" s="45" t="str">
        <f t="array" ref="G87">IFERROR(INDEX(COA_DEBET,MATCH(B87,KODEAKUN,0)),"")</f>
        <v/>
      </c>
      <c r="H87" s="45" t="str">
        <f t="array" ref="H87">IFERROR(INDEX(COA_KREDIT,MATCH(B87,KODEAKUN,0)),"")</f>
        <v/>
      </c>
      <c r="I87" s="45">
        <f t="shared" si="11"/>
        <v>0</v>
      </c>
      <c r="J87" s="45">
        <f t="shared" si="12"/>
        <v>50000</v>
      </c>
      <c r="K87" s="45">
        <f t="shared" si="13"/>
        <v>0</v>
      </c>
      <c r="L87" s="25">
        <f t="shared" si="14"/>
        <v>0</v>
      </c>
      <c r="M87" s="45">
        <f t="shared" si="15"/>
        <v>0</v>
      </c>
      <c r="N87" s="25">
        <f t="shared" si="16"/>
        <v>0</v>
      </c>
      <c r="O87" s="25">
        <f t="shared" si="17"/>
        <v>0</v>
      </c>
      <c r="P87" s="25">
        <f t="shared" si="18"/>
        <v>0</v>
      </c>
      <c r="R87" s="7">
        <f t="shared" si="19"/>
        <v>0</v>
      </c>
    </row>
    <row r="88" spans="2:18" s="123" customFormat="1" ht="15.75" customHeight="1" x14ac:dyDescent="0.2">
      <c r="B88" s="42">
        <f>IF(COA!B85="","",COA!B85)</f>
        <v>8010</v>
      </c>
      <c r="C88" s="43" t="str">
        <f t="array" ref="C88">IFERROR(INDEX(Nama_Akun,MATCH(B88,KODEAKUN,0)),"")</f>
        <v>Pajak</v>
      </c>
      <c r="D88" s="44"/>
      <c r="E88" s="44"/>
      <c r="F88" s="44"/>
      <c r="G88" s="45" t="str">
        <f t="array" ref="G88">IFERROR(INDEX(COA_DEBET,MATCH(B88,KODEAKUN,0)),"")</f>
        <v/>
      </c>
      <c r="H88" s="45" t="str">
        <f t="array" ref="H88">IFERROR(INDEX(COA_KREDIT,MATCH(B88,KODEAKUN,0)),"")</f>
        <v/>
      </c>
      <c r="I88" s="45">
        <f t="shared" si="11"/>
        <v>0</v>
      </c>
      <c r="J88" s="45">
        <f t="shared" si="12"/>
        <v>507960</v>
      </c>
      <c r="K88" s="45">
        <f t="shared" si="13"/>
        <v>0</v>
      </c>
      <c r="L88" s="25">
        <f t="shared" si="14"/>
        <v>0</v>
      </c>
      <c r="M88" s="45">
        <f t="shared" si="15"/>
        <v>0</v>
      </c>
      <c r="N88" s="25">
        <f t="shared" si="16"/>
        <v>0</v>
      </c>
      <c r="O88" s="25">
        <f t="shared" si="17"/>
        <v>0</v>
      </c>
      <c r="P88" s="25">
        <f t="shared" si="18"/>
        <v>0</v>
      </c>
      <c r="R88" s="7">
        <f t="shared" si="19"/>
        <v>0</v>
      </c>
    </row>
    <row r="89" spans="2:18" s="123" customFormat="1" ht="15.75" customHeight="1" x14ac:dyDescent="0.2">
      <c r="B89" s="42" t="str">
        <f>IF(COA!B86="","",COA!B86)</f>
        <v/>
      </c>
      <c r="C89" s="43" t="str">
        <f t="array" ref="C89">IFERROR(INDEX(Nama_Akun,MATCH(B89,KODEAKUN,0)),"")</f>
        <v/>
      </c>
      <c r="D89" s="44"/>
      <c r="E89" s="44"/>
      <c r="F89" s="44"/>
      <c r="G89" s="45" t="str">
        <f t="array" ref="G89">IFERROR(INDEX(COA_DEBET,MATCH(B89,KODEAKUN,0)),"")</f>
        <v/>
      </c>
      <c r="H89" s="45" t="str">
        <f t="array" ref="H89">IFERROR(INDEX(COA_KREDIT,MATCH(B89,KODEAKUN,0)),"")</f>
        <v/>
      </c>
      <c r="I89" s="45" t="str">
        <f t="shared" si="11"/>
        <v/>
      </c>
      <c r="J89" s="45" t="str">
        <f t="shared" si="12"/>
        <v/>
      </c>
      <c r="K89" s="45">
        <f t="shared" si="13"/>
        <v>0</v>
      </c>
      <c r="L89" s="25">
        <f t="shared" si="14"/>
        <v>0</v>
      </c>
      <c r="M89" s="45">
        <f t="shared" si="15"/>
        <v>0</v>
      </c>
      <c r="N89" s="25">
        <f t="shared" si="16"/>
        <v>0</v>
      </c>
      <c r="O89" s="25">
        <f t="shared" si="17"/>
        <v>0</v>
      </c>
      <c r="P89" s="25">
        <f t="shared" si="18"/>
        <v>0</v>
      </c>
      <c r="R89" s="7">
        <f t="shared" si="19"/>
        <v>0</v>
      </c>
    </row>
    <row r="90" spans="2:18" s="123" customFormat="1" ht="15.75" customHeight="1" x14ac:dyDescent="0.2">
      <c r="B90" s="42" t="str">
        <f>IF(COA!B87="","",COA!B87)</f>
        <v/>
      </c>
      <c r="C90" s="43" t="str">
        <f t="array" ref="C90">IFERROR(INDEX(Nama_Akun,MATCH(B90,KODEAKUN,0)),"")</f>
        <v/>
      </c>
      <c r="D90" s="44"/>
      <c r="E90" s="44"/>
      <c r="F90" s="44"/>
      <c r="G90" s="45" t="str">
        <f t="array" ref="G90">IFERROR(INDEX(COA_DEBET,MATCH(B90,KODEAKUN,0)),"")</f>
        <v/>
      </c>
      <c r="H90" s="45" t="str">
        <f t="array" ref="H90">IFERROR(INDEX(COA_KREDIT,MATCH(B90,KODEAKUN,0)),"")</f>
        <v/>
      </c>
      <c r="I90" s="45" t="str">
        <f t="shared" si="11"/>
        <v/>
      </c>
      <c r="J90" s="45" t="str">
        <f t="shared" si="12"/>
        <v/>
      </c>
      <c r="K90" s="45">
        <f t="shared" si="13"/>
        <v>0</v>
      </c>
      <c r="L90" s="25">
        <f t="shared" si="14"/>
        <v>0</v>
      </c>
      <c r="M90" s="45">
        <f t="shared" si="15"/>
        <v>0</v>
      </c>
      <c r="N90" s="25">
        <f t="shared" si="16"/>
        <v>0</v>
      </c>
      <c r="O90" s="25">
        <f t="shared" si="17"/>
        <v>0</v>
      </c>
      <c r="P90" s="25">
        <f t="shared" si="18"/>
        <v>0</v>
      </c>
      <c r="R90" s="7">
        <f t="shared" si="19"/>
        <v>0</v>
      </c>
    </row>
    <row r="91" spans="2:18" s="123" customFormat="1" ht="15.75" customHeight="1" x14ac:dyDescent="0.2">
      <c r="B91" s="42" t="str">
        <f>IF(COA!B88="","",COA!B88)</f>
        <v/>
      </c>
      <c r="C91" s="43" t="str">
        <f t="array" ref="C91">IFERROR(INDEX(Nama_Akun,MATCH(B91,KODEAKUN,0)),"")</f>
        <v/>
      </c>
      <c r="D91" s="44"/>
      <c r="E91" s="44"/>
      <c r="F91" s="44"/>
      <c r="G91" s="45" t="str">
        <f t="array" ref="G91">IFERROR(INDEX(COA_DEBET,MATCH(B91,KODEAKUN,0)),"")</f>
        <v/>
      </c>
      <c r="H91" s="45" t="str">
        <f t="array" ref="H91">IFERROR(INDEX(COA_KREDIT,MATCH(B91,KODEAKUN,0)),"")</f>
        <v/>
      </c>
      <c r="I91" s="45" t="str">
        <f t="shared" si="11"/>
        <v/>
      </c>
      <c r="J91" s="45" t="str">
        <f t="shared" si="12"/>
        <v/>
      </c>
      <c r="K91" s="45">
        <f t="shared" si="13"/>
        <v>0</v>
      </c>
      <c r="L91" s="25">
        <f t="shared" si="14"/>
        <v>0</v>
      </c>
      <c r="M91" s="45">
        <f t="shared" si="15"/>
        <v>0</v>
      </c>
      <c r="N91" s="25">
        <f t="shared" si="16"/>
        <v>0</v>
      </c>
      <c r="O91" s="25">
        <f t="shared" si="17"/>
        <v>0</v>
      </c>
      <c r="P91" s="25">
        <f t="shared" si="18"/>
        <v>0</v>
      </c>
      <c r="R91" s="7">
        <f t="shared" si="19"/>
        <v>0</v>
      </c>
    </row>
    <row r="92" spans="2:18" s="123" customFormat="1" ht="15.75" customHeight="1" x14ac:dyDescent="0.2">
      <c r="B92" s="42" t="str">
        <f>IF(COA!B89="","",COA!B89)</f>
        <v/>
      </c>
      <c r="C92" s="43" t="str">
        <f t="array" ref="C92">IFERROR(INDEX(Nama_Akun,MATCH(B92,KODEAKUN,0)),"")</f>
        <v/>
      </c>
      <c r="D92" s="44"/>
      <c r="E92" s="44"/>
      <c r="F92" s="44"/>
      <c r="G92" s="45" t="str">
        <f t="array" ref="G92">IFERROR(INDEX(COA_DEBET,MATCH(B92,KODEAKUN,0)),"")</f>
        <v/>
      </c>
      <c r="H92" s="45" t="str">
        <f t="array" ref="H92">IFERROR(INDEX(COA_KREDIT,MATCH(B92,KODEAKUN,0)),"")</f>
        <v/>
      </c>
      <c r="I92" s="45" t="str">
        <f t="shared" si="11"/>
        <v/>
      </c>
      <c r="J92" s="45" t="str">
        <f t="shared" si="12"/>
        <v/>
      </c>
      <c r="K92" s="45">
        <f t="shared" si="13"/>
        <v>0</v>
      </c>
      <c r="L92" s="25">
        <f t="shared" si="14"/>
        <v>0</v>
      </c>
      <c r="M92" s="45">
        <f t="shared" si="15"/>
        <v>0</v>
      </c>
      <c r="N92" s="25">
        <f t="shared" si="16"/>
        <v>0</v>
      </c>
      <c r="O92" s="25">
        <f t="shared" si="17"/>
        <v>0</v>
      </c>
      <c r="P92" s="25">
        <f t="shared" si="18"/>
        <v>0</v>
      </c>
      <c r="R92" s="7">
        <f t="shared" si="19"/>
        <v>0</v>
      </c>
    </row>
    <row r="93" spans="2:18" s="123" customFormat="1" ht="15.75" customHeight="1" x14ac:dyDescent="0.2">
      <c r="B93" s="42" t="str">
        <f>IF(COA!B90="","",COA!B90)</f>
        <v/>
      </c>
      <c r="C93" s="43" t="str">
        <f t="array" ref="C93">IFERROR(INDEX(Nama_Akun,MATCH(B93,KODEAKUN,0)),"")</f>
        <v/>
      </c>
      <c r="D93" s="44"/>
      <c r="E93" s="44"/>
      <c r="F93" s="44"/>
      <c r="G93" s="45" t="str">
        <f t="array" ref="G93">IFERROR(INDEX(COA_DEBET,MATCH(B93,KODEAKUN,0)),"")</f>
        <v/>
      </c>
      <c r="H93" s="45" t="str">
        <f t="array" ref="H93">IFERROR(INDEX(COA_KREDIT,MATCH(B93,KODEAKUN,0)),"")</f>
        <v/>
      </c>
      <c r="I93" s="45" t="str">
        <f t="shared" si="11"/>
        <v/>
      </c>
      <c r="J93" s="45" t="str">
        <f t="shared" si="12"/>
        <v/>
      </c>
      <c r="K93" s="45">
        <f t="shared" si="13"/>
        <v>0</v>
      </c>
      <c r="L93" s="25">
        <f t="shared" si="14"/>
        <v>0</v>
      </c>
      <c r="M93" s="45">
        <f t="shared" si="15"/>
        <v>0</v>
      </c>
      <c r="N93" s="25">
        <f t="shared" si="16"/>
        <v>0</v>
      </c>
      <c r="O93" s="25">
        <f t="shared" si="17"/>
        <v>0</v>
      </c>
      <c r="P93" s="25">
        <f t="shared" si="18"/>
        <v>0</v>
      </c>
      <c r="R93" s="7">
        <f t="shared" si="19"/>
        <v>0</v>
      </c>
    </row>
    <row r="94" spans="2:18" s="123" customFormat="1" ht="15.75" customHeight="1" x14ac:dyDescent="0.2">
      <c r="B94" s="42" t="str">
        <f>IF(COA!B91="","",COA!B91)</f>
        <v/>
      </c>
      <c r="C94" s="43"/>
      <c r="D94" s="44"/>
      <c r="E94" s="44"/>
      <c r="F94" s="44"/>
      <c r="G94" s="45" t="str">
        <f t="array" ref="G94">IFERROR(INDEX(COA_DEBET,MATCH(B94,KODEAKUN,0)),"")</f>
        <v/>
      </c>
      <c r="H94" s="45" t="str">
        <f t="array" ref="H94">IFERROR(INDEX(COA_KREDIT,MATCH(B94,KODEAKUN,0)),"")</f>
        <v/>
      </c>
      <c r="I94" s="45" t="str">
        <f t="shared" si="11"/>
        <v/>
      </c>
      <c r="J94" s="45" t="str">
        <f t="shared" si="12"/>
        <v/>
      </c>
      <c r="K94" s="45">
        <f t="shared" si="13"/>
        <v>0</v>
      </c>
      <c r="L94" s="25">
        <f t="shared" si="14"/>
        <v>0</v>
      </c>
      <c r="M94" s="45">
        <f t="shared" si="15"/>
        <v>0</v>
      </c>
      <c r="N94" s="25">
        <f t="shared" si="16"/>
        <v>0</v>
      </c>
      <c r="O94" s="25">
        <f t="shared" si="17"/>
        <v>0</v>
      </c>
      <c r="P94" s="25">
        <f t="shared" si="18"/>
        <v>0</v>
      </c>
      <c r="R94" s="7">
        <f t="shared" si="19"/>
        <v>0</v>
      </c>
    </row>
    <row r="95" spans="2:18" s="123" customFormat="1" ht="15.75" customHeight="1" x14ac:dyDescent="0.2">
      <c r="B95" s="42" t="str">
        <f>IF(COA!B92="","",COA!B92)</f>
        <v/>
      </c>
      <c r="C95" s="43"/>
      <c r="D95" s="44"/>
      <c r="E95" s="44"/>
      <c r="F95" s="44"/>
      <c r="G95" s="45" t="str">
        <f t="array" ref="G95">IFERROR(INDEX(COA_DEBET,MATCH(B95,KODEAKUN,0)),"")</f>
        <v/>
      </c>
      <c r="H95" s="45" t="str">
        <f t="array" ref="H95">IFERROR(INDEX(COA_KREDIT,MATCH(B95,KODEAKUN,0)),"")</f>
        <v/>
      </c>
      <c r="I95" s="45" t="str">
        <f t="shared" si="11"/>
        <v/>
      </c>
      <c r="J95" s="45" t="str">
        <f t="shared" si="12"/>
        <v/>
      </c>
      <c r="K95" s="45">
        <f t="shared" si="13"/>
        <v>0</v>
      </c>
      <c r="L95" s="25">
        <f t="shared" si="14"/>
        <v>0</v>
      </c>
      <c r="M95" s="45">
        <f t="shared" si="15"/>
        <v>0</v>
      </c>
      <c r="N95" s="25">
        <f t="shared" si="16"/>
        <v>0</v>
      </c>
      <c r="O95" s="25">
        <f t="shared" si="17"/>
        <v>0</v>
      </c>
      <c r="P95" s="25">
        <f t="shared" si="18"/>
        <v>0</v>
      </c>
      <c r="R95" s="7">
        <f t="shared" si="19"/>
        <v>0</v>
      </c>
    </row>
    <row r="96" spans="2:18" s="123" customFormat="1" ht="15.75" customHeight="1" x14ac:dyDescent="0.2">
      <c r="B96" s="42" t="str">
        <f>IF(COA!B93="","",COA!B93)</f>
        <v/>
      </c>
      <c r="C96" s="43"/>
      <c r="D96" s="44"/>
      <c r="E96" s="44"/>
      <c r="F96" s="44"/>
      <c r="G96" s="45" t="str">
        <f t="array" ref="G96">IFERROR(INDEX(COA_DEBET,MATCH(B96,KODEAKUN,0)),"")</f>
        <v/>
      </c>
      <c r="H96" s="45" t="str">
        <f t="array" ref="H96">IFERROR(INDEX(COA_KREDIT,MATCH(B96,KODEAKUN,0)),"")</f>
        <v/>
      </c>
      <c r="I96" s="45" t="str">
        <f t="shared" si="11"/>
        <v/>
      </c>
      <c r="J96" s="45" t="str">
        <f t="shared" si="12"/>
        <v/>
      </c>
      <c r="K96" s="45">
        <f t="shared" si="13"/>
        <v>0</v>
      </c>
      <c r="L96" s="25">
        <f t="shared" si="14"/>
        <v>0</v>
      </c>
      <c r="M96" s="45">
        <f t="shared" si="15"/>
        <v>0</v>
      </c>
      <c r="N96" s="25">
        <f t="shared" si="16"/>
        <v>0</v>
      </c>
      <c r="O96" s="25">
        <f t="shared" si="17"/>
        <v>0</v>
      </c>
      <c r="P96" s="25">
        <f t="shared" si="18"/>
        <v>0</v>
      </c>
      <c r="R96" s="7">
        <f t="shared" si="19"/>
        <v>0</v>
      </c>
    </row>
    <row r="97" spans="2:18" s="123" customFormat="1" ht="15.75" customHeight="1" x14ac:dyDescent="0.2">
      <c r="B97" s="42" t="str">
        <f>IF(COA!B94="","",COA!B94)</f>
        <v/>
      </c>
      <c r="C97" s="43"/>
      <c r="D97" s="44"/>
      <c r="E97" s="44"/>
      <c r="F97" s="44"/>
      <c r="G97" s="45" t="str">
        <f t="array" ref="G97">IFERROR(INDEX(COA_DEBET,MATCH(B97,KODEAKUN,0)),"")</f>
        <v/>
      </c>
      <c r="H97" s="45" t="str">
        <f t="array" ref="H97">IFERROR(INDEX(COA_KREDIT,MATCH(B97,KODEAKUN,0)),"")</f>
        <v/>
      </c>
      <c r="I97" s="45" t="str">
        <f t="shared" si="11"/>
        <v/>
      </c>
      <c r="J97" s="45" t="str">
        <f t="shared" si="12"/>
        <v/>
      </c>
      <c r="K97" s="45">
        <f t="shared" si="13"/>
        <v>0</v>
      </c>
      <c r="L97" s="25">
        <f t="shared" si="14"/>
        <v>0</v>
      </c>
      <c r="M97" s="45">
        <f t="shared" si="15"/>
        <v>0</v>
      </c>
      <c r="N97" s="25">
        <f t="shared" si="16"/>
        <v>0</v>
      </c>
      <c r="O97" s="25">
        <f t="shared" si="17"/>
        <v>0</v>
      </c>
      <c r="P97" s="25">
        <f t="shared" si="18"/>
        <v>0</v>
      </c>
      <c r="R97" s="7">
        <f t="shared" si="19"/>
        <v>0</v>
      </c>
    </row>
    <row r="98" spans="2:18" s="123" customFormat="1" ht="15.75" customHeight="1" x14ac:dyDescent="0.2">
      <c r="B98" s="42" t="str">
        <f>IF(COA!B95="","",COA!B95)</f>
        <v/>
      </c>
      <c r="C98" s="43"/>
      <c r="D98" s="44"/>
      <c r="E98" s="44"/>
      <c r="F98" s="44"/>
      <c r="G98" s="45" t="str">
        <f t="array" ref="G98">IFERROR(INDEX(COA_DEBET,MATCH(B98,KODEAKUN,0)),"")</f>
        <v/>
      </c>
      <c r="H98" s="45" t="str">
        <f t="array" ref="H98">IFERROR(INDEX(COA_KREDIT,MATCH(B98,KODEAKUN,0)),"")</f>
        <v/>
      </c>
      <c r="I98" s="45" t="str">
        <f t="shared" si="11"/>
        <v/>
      </c>
      <c r="J98" s="45" t="str">
        <f t="shared" si="12"/>
        <v/>
      </c>
      <c r="K98" s="45">
        <f t="shared" si="13"/>
        <v>0</v>
      </c>
      <c r="L98" s="25">
        <f t="shared" si="14"/>
        <v>0</v>
      </c>
      <c r="M98" s="45">
        <f t="shared" si="15"/>
        <v>0</v>
      </c>
      <c r="N98" s="25">
        <f t="shared" si="16"/>
        <v>0</v>
      </c>
      <c r="O98" s="25">
        <f t="shared" si="17"/>
        <v>0</v>
      </c>
      <c r="P98" s="25">
        <f t="shared" si="18"/>
        <v>0</v>
      </c>
      <c r="R98" s="7">
        <f t="shared" si="19"/>
        <v>0</v>
      </c>
    </row>
    <row r="99" spans="2:18" s="123" customFormat="1" ht="15.75" customHeight="1" x14ac:dyDescent="0.2">
      <c r="B99" s="42" t="str">
        <f>IF(COA!B96="","",COA!B96)</f>
        <v/>
      </c>
      <c r="C99" s="43"/>
      <c r="D99" s="44"/>
      <c r="E99" s="44"/>
      <c r="F99" s="44"/>
      <c r="G99" s="45" t="str">
        <f t="array" ref="G99">IFERROR(INDEX(COA_DEBET,MATCH(B99,KODEAKUN,0)),"")</f>
        <v/>
      </c>
      <c r="H99" s="45" t="str">
        <f t="array" ref="H99">IFERROR(INDEX(COA_KREDIT,MATCH(B99,KODEAKUN,0)),"")</f>
        <v/>
      </c>
      <c r="I99" s="45" t="str">
        <f t="shared" ref="I99:I114" si="20">IF(B99="","",SUMIF(JU_Kodeakun,B99,JU_Debet))</f>
        <v/>
      </c>
      <c r="J99" s="45" t="str">
        <f t="shared" ref="J99:J114" si="21">IF(B99="","",SUMIF(JU_Kodeakun,B99,JU_Kredit))</f>
        <v/>
      </c>
      <c r="K99" s="45">
        <f t="shared" ref="K99:K114" si="22">IF(F99="Debet",G99+I99-H99-J99,0)</f>
        <v>0</v>
      </c>
      <c r="L99" s="25">
        <f t="shared" ref="L99:L114" si="23">IF(F99="Kredit",H99+J99-G99-I99,0)</f>
        <v>0</v>
      </c>
      <c r="M99" s="45">
        <f t="shared" ref="M99:M114" si="24">IF(E99="Laba Rugi",K99,0)</f>
        <v>0</v>
      </c>
      <c r="N99" s="25">
        <f t="shared" ref="N99:N114" si="25">IF(E99="Laba Rugi",L99,0)</f>
        <v>0</v>
      </c>
      <c r="O99" s="25">
        <f t="shared" ref="O99:O114" si="26">IF(E99="Neraca",K99,0)</f>
        <v>0</v>
      </c>
      <c r="P99" s="25">
        <f t="shared" ref="P99:P114" si="27">IF(E99="Neraca",L99,0)</f>
        <v>0</v>
      </c>
      <c r="R99" s="7">
        <f t="shared" ref="R99:R114" si="28">IF(AND(G184=0,H184=0,I184=0,J184=0,K184=0,L184=0,M184=0,N184=0,O184=0,P184=0),0,1)</f>
        <v>0</v>
      </c>
    </row>
    <row r="100" spans="2:18" s="123" customFormat="1" ht="15.75" customHeight="1" x14ac:dyDescent="0.2">
      <c r="B100" s="42" t="str">
        <f>IF(COA!B97="","",COA!B97)</f>
        <v/>
      </c>
      <c r="C100" s="43"/>
      <c r="D100" s="44"/>
      <c r="E100" s="44"/>
      <c r="F100" s="44"/>
      <c r="G100" s="45" t="str">
        <f t="array" ref="G100">IFERROR(INDEX(COA_DEBET,MATCH(B100,KODEAKUN,0)),"")</f>
        <v/>
      </c>
      <c r="H100" s="45" t="str">
        <f t="array" ref="H100">IFERROR(INDEX(COA_KREDIT,MATCH(B100,KODEAKUN,0)),"")</f>
        <v/>
      </c>
      <c r="I100" s="45" t="str">
        <f t="shared" si="20"/>
        <v/>
      </c>
      <c r="J100" s="45" t="str">
        <f t="shared" si="21"/>
        <v/>
      </c>
      <c r="K100" s="45">
        <f t="shared" si="22"/>
        <v>0</v>
      </c>
      <c r="L100" s="25">
        <f t="shared" si="23"/>
        <v>0</v>
      </c>
      <c r="M100" s="45">
        <f t="shared" si="24"/>
        <v>0</v>
      </c>
      <c r="N100" s="25">
        <f t="shared" si="25"/>
        <v>0</v>
      </c>
      <c r="O100" s="25">
        <f t="shared" si="26"/>
        <v>0</v>
      </c>
      <c r="P100" s="25">
        <f t="shared" si="27"/>
        <v>0</v>
      </c>
      <c r="R100" s="7">
        <f t="shared" si="28"/>
        <v>0</v>
      </c>
    </row>
    <row r="101" spans="2:18" s="123" customFormat="1" ht="15.75" customHeight="1" x14ac:dyDescent="0.2">
      <c r="B101" s="42" t="str">
        <f>IF(COA!B98="","",COA!B98)</f>
        <v/>
      </c>
      <c r="C101" s="43"/>
      <c r="D101" s="44"/>
      <c r="E101" s="44"/>
      <c r="F101" s="44"/>
      <c r="G101" s="45" t="str">
        <f t="array" ref="G101">IFERROR(INDEX(COA_DEBET,MATCH(B101,KODEAKUN,0)),"")</f>
        <v/>
      </c>
      <c r="H101" s="45" t="str">
        <f t="array" ref="H101">IFERROR(INDEX(COA_KREDIT,MATCH(B101,KODEAKUN,0)),"")</f>
        <v/>
      </c>
      <c r="I101" s="45" t="str">
        <f t="shared" si="20"/>
        <v/>
      </c>
      <c r="J101" s="45" t="str">
        <f t="shared" si="21"/>
        <v/>
      </c>
      <c r="K101" s="45">
        <f t="shared" si="22"/>
        <v>0</v>
      </c>
      <c r="L101" s="25">
        <f t="shared" si="23"/>
        <v>0</v>
      </c>
      <c r="M101" s="45">
        <f t="shared" si="24"/>
        <v>0</v>
      </c>
      <c r="N101" s="25">
        <f t="shared" si="25"/>
        <v>0</v>
      </c>
      <c r="O101" s="25">
        <f t="shared" si="26"/>
        <v>0</v>
      </c>
      <c r="P101" s="25">
        <f t="shared" si="27"/>
        <v>0</v>
      </c>
      <c r="R101" s="7">
        <f t="shared" si="28"/>
        <v>0</v>
      </c>
    </row>
    <row r="102" spans="2:18" s="123" customFormat="1" ht="15.75" customHeight="1" x14ac:dyDescent="0.2">
      <c r="B102" s="42" t="str">
        <f>IF(COA!B99="","",COA!B99)</f>
        <v/>
      </c>
      <c r="C102" s="43"/>
      <c r="D102" s="44"/>
      <c r="E102" s="44"/>
      <c r="F102" s="44"/>
      <c r="G102" s="45" t="str">
        <f t="array" ref="G102">IFERROR(INDEX(COA_DEBET,MATCH(B102,KODEAKUN,0)),"")</f>
        <v/>
      </c>
      <c r="H102" s="45" t="str">
        <f t="array" ref="H102">IFERROR(INDEX(COA_KREDIT,MATCH(B102,KODEAKUN,0)),"")</f>
        <v/>
      </c>
      <c r="I102" s="45" t="str">
        <f t="shared" si="20"/>
        <v/>
      </c>
      <c r="J102" s="45" t="str">
        <f t="shared" si="21"/>
        <v/>
      </c>
      <c r="K102" s="45">
        <f t="shared" si="22"/>
        <v>0</v>
      </c>
      <c r="L102" s="25">
        <f t="shared" si="23"/>
        <v>0</v>
      </c>
      <c r="M102" s="45">
        <f t="shared" si="24"/>
        <v>0</v>
      </c>
      <c r="N102" s="25">
        <f t="shared" si="25"/>
        <v>0</v>
      </c>
      <c r="O102" s="25">
        <f t="shared" si="26"/>
        <v>0</v>
      </c>
      <c r="P102" s="25">
        <f t="shared" si="27"/>
        <v>0</v>
      </c>
      <c r="R102" s="7">
        <f t="shared" si="28"/>
        <v>0</v>
      </c>
    </row>
    <row r="103" spans="2:18" s="123" customFormat="1" ht="15.75" customHeight="1" x14ac:dyDescent="0.2">
      <c r="B103" s="42" t="str">
        <f>IF(COA!B100="","",COA!B100)</f>
        <v/>
      </c>
      <c r="C103" s="43"/>
      <c r="D103" s="44"/>
      <c r="E103" s="44"/>
      <c r="F103" s="44"/>
      <c r="G103" s="45" t="str">
        <f t="array" ref="G103">IFERROR(INDEX(COA_DEBET,MATCH(B103,KODEAKUN,0)),"")</f>
        <v/>
      </c>
      <c r="H103" s="45" t="str">
        <f t="array" ref="H103">IFERROR(INDEX(COA_KREDIT,MATCH(B103,KODEAKUN,0)),"")</f>
        <v/>
      </c>
      <c r="I103" s="45" t="str">
        <f t="shared" si="20"/>
        <v/>
      </c>
      <c r="J103" s="45" t="str">
        <f t="shared" si="21"/>
        <v/>
      </c>
      <c r="K103" s="45">
        <f t="shared" si="22"/>
        <v>0</v>
      </c>
      <c r="L103" s="25">
        <f t="shared" si="23"/>
        <v>0</v>
      </c>
      <c r="M103" s="45">
        <f t="shared" si="24"/>
        <v>0</v>
      </c>
      <c r="N103" s="25">
        <f t="shared" si="25"/>
        <v>0</v>
      </c>
      <c r="O103" s="25">
        <f t="shared" si="26"/>
        <v>0</v>
      </c>
      <c r="P103" s="25">
        <f t="shared" si="27"/>
        <v>0</v>
      </c>
      <c r="R103" s="7">
        <f t="shared" si="28"/>
        <v>0</v>
      </c>
    </row>
    <row r="104" spans="2:18" s="123" customFormat="1" ht="15.75" customHeight="1" x14ac:dyDescent="0.2">
      <c r="B104" s="42" t="str">
        <f>IF(COA!B101="","",COA!B101)</f>
        <v/>
      </c>
      <c r="C104" s="43"/>
      <c r="D104" s="44"/>
      <c r="E104" s="44"/>
      <c r="F104" s="44"/>
      <c r="G104" s="45" t="str">
        <f t="array" ref="G104">IFERROR(INDEX(COA_DEBET,MATCH(B104,KODEAKUN,0)),"")</f>
        <v/>
      </c>
      <c r="H104" s="45" t="str">
        <f t="array" ref="H104">IFERROR(INDEX(COA_KREDIT,MATCH(B104,KODEAKUN,0)),"")</f>
        <v/>
      </c>
      <c r="I104" s="45" t="str">
        <f t="shared" si="20"/>
        <v/>
      </c>
      <c r="J104" s="45" t="str">
        <f t="shared" si="21"/>
        <v/>
      </c>
      <c r="K104" s="45">
        <f t="shared" si="22"/>
        <v>0</v>
      </c>
      <c r="L104" s="25">
        <f t="shared" si="23"/>
        <v>0</v>
      </c>
      <c r="M104" s="45">
        <f t="shared" si="24"/>
        <v>0</v>
      </c>
      <c r="N104" s="25">
        <f t="shared" si="25"/>
        <v>0</v>
      </c>
      <c r="O104" s="25">
        <f t="shared" si="26"/>
        <v>0</v>
      </c>
      <c r="P104" s="25">
        <f t="shared" si="27"/>
        <v>0</v>
      </c>
      <c r="R104" s="7">
        <f t="shared" si="28"/>
        <v>0</v>
      </c>
    </row>
    <row r="105" spans="2:18" s="123" customFormat="1" ht="15.75" customHeight="1" x14ac:dyDescent="0.2">
      <c r="B105" s="42" t="str">
        <f>IF(COA!B102="","",COA!B102)</f>
        <v/>
      </c>
      <c r="C105" s="43"/>
      <c r="D105" s="44"/>
      <c r="E105" s="44"/>
      <c r="F105" s="44"/>
      <c r="G105" s="45" t="str">
        <f t="array" ref="G105">IFERROR(INDEX(COA_DEBET,MATCH(B105,KODEAKUN,0)),"")</f>
        <v/>
      </c>
      <c r="H105" s="45" t="str">
        <f t="array" ref="H105">IFERROR(INDEX(COA_KREDIT,MATCH(B105,KODEAKUN,0)),"")</f>
        <v/>
      </c>
      <c r="I105" s="45" t="str">
        <f t="shared" si="20"/>
        <v/>
      </c>
      <c r="J105" s="45" t="str">
        <f t="shared" si="21"/>
        <v/>
      </c>
      <c r="K105" s="45">
        <f t="shared" si="22"/>
        <v>0</v>
      </c>
      <c r="L105" s="25">
        <f t="shared" si="23"/>
        <v>0</v>
      </c>
      <c r="M105" s="45">
        <f t="shared" si="24"/>
        <v>0</v>
      </c>
      <c r="N105" s="25">
        <f t="shared" si="25"/>
        <v>0</v>
      </c>
      <c r="O105" s="25">
        <f t="shared" si="26"/>
        <v>0</v>
      </c>
      <c r="P105" s="25">
        <f t="shared" si="27"/>
        <v>0</v>
      </c>
      <c r="R105" s="7">
        <f t="shared" si="28"/>
        <v>0</v>
      </c>
    </row>
    <row r="106" spans="2:18" s="123" customFormat="1" ht="15.75" customHeight="1" x14ac:dyDescent="0.2">
      <c r="B106" s="42" t="str">
        <f>IF(COA!B103="","",COA!B103)</f>
        <v/>
      </c>
      <c r="C106" s="43"/>
      <c r="D106" s="44"/>
      <c r="E106" s="44"/>
      <c r="F106" s="44"/>
      <c r="G106" s="45" t="str">
        <f t="array" ref="G106">IFERROR(INDEX(COA_DEBET,MATCH(B106,KODEAKUN,0)),"")</f>
        <v/>
      </c>
      <c r="H106" s="45" t="str">
        <f t="array" ref="H106">IFERROR(INDEX(COA_KREDIT,MATCH(B106,KODEAKUN,0)),"")</f>
        <v/>
      </c>
      <c r="I106" s="45" t="str">
        <f t="shared" si="20"/>
        <v/>
      </c>
      <c r="J106" s="45" t="str">
        <f t="shared" si="21"/>
        <v/>
      </c>
      <c r="K106" s="45">
        <f t="shared" si="22"/>
        <v>0</v>
      </c>
      <c r="L106" s="25">
        <f t="shared" si="23"/>
        <v>0</v>
      </c>
      <c r="M106" s="45">
        <f t="shared" si="24"/>
        <v>0</v>
      </c>
      <c r="N106" s="25">
        <f t="shared" si="25"/>
        <v>0</v>
      </c>
      <c r="O106" s="25">
        <f t="shared" si="26"/>
        <v>0</v>
      </c>
      <c r="P106" s="25">
        <f t="shared" si="27"/>
        <v>0</v>
      </c>
      <c r="R106" s="7">
        <f t="shared" si="28"/>
        <v>0</v>
      </c>
    </row>
    <row r="107" spans="2:18" s="123" customFormat="1" ht="15.75" customHeight="1" x14ac:dyDescent="0.2">
      <c r="B107" s="42" t="str">
        <f>IF(COA!B104="","",COA!B104)</f>
        <v/>
      </c>
      <c r="C107" s="43"/>
      <c r="D107" s="44"/>
      <c r="E107" s="44"/>
      <c r="F107" s="44"/>
      <c r="G107" s="45" t="str">
        <f t="array" ref="G107">IFERROR(INDEX(COA_DEBET,MATCH(B107,KODEAKUN,0)),"")</f>
        <v/>
      </c>
      <c r="H107" s="45" t="str">
        <f t="array" ref="H107">IFERROR(INDEX(COA_KREDIT,MATCH(B107,KODEAKUN,0)),"")</f>
        <v/>
      </c>
      <c r="I107" s="45" t="str">
        <f t="shared" si="20"/>
        <v/>
      </c>
      <c r="J107" s="45" t="str">
        <f t="shared" si="21"/>
        <v/>
      </c>
      <c r="K107" s="45">
        <f t="shared" si="22"/>
        <v>0</v>
      </c>
      <c r="L107" s="25">
        <f t="shared" si="23"/>
        <v>0</v>
      </c>
      <c r="M107" s="45">
        <f t="shared" si="24"/>
        <v>0</v>
      </c>
      <c r="N107" s="25">
        <f t="shared" si="25"/>
        <v>0</v>
      </c>
      <c r="O107" s="25">
        <f t="shared" si="26"/>
        <v>0</v>
      </c>
      <c r="P107" s="25">
        <f t="shared" si="27"/>
        <v>0</v>
      </c>
      <c r="R107" s="7">
        <f t="shared" si="28"/>
        <v>0</v>
      </c>
    </row>
    <row r="108" spans="2:18" s="123" customFormat="1" ht="15.75" customHeight="1" x14ac:dyDescent="0.2">
      <c r="B108" s="42" t="str">
        <f>IF(COA!B105="","",COA!B105)</f>
        <v/>
      </c>
      <c r="C108" s="43"/>
      <c r="D108" s="44"/>
      <c r="E108" s="44"/>
      <c r="F108" s="44"/>
      <c r="G108" s="45" t="str">
        <f t="array" ref="G108">IFERROR(INDEX(COA_DEBET,MATCH(B108,KODEAKUN,0)),"")</f>
        <v/>
      </c>
      <c r="H108" s="45" t="str">
        <f t="array" ref="H108">IFERROR(INDEX(COA_KREDIT,MATCH(B108,KODEAKUN,0)),"")</f>
        <v/>
      </c>
      <c r="I108" s="45" t="str">
        <f t="shared" si="20"/>
        <v/>
      </c>
      <c r="J108" s="45" t="str">
        <f t="shared" si="21"/>
        <v/>
      </c>
      <c r="K108" s="45">
        <f t="shared" si="22"/>
        <v>0</v>
      </c>
      <c r="L108" s="25">
        <f t="shared" si="23"/>
        <v>0</v>
      </c>
      <c r="M108" s="45">
        <f t="shared" si="24"/>
        <v>0</v>
      </c>
      <c r="N108" s="25">
        <f t="shared" si="25"/>
        <v>0</v>
      </c>
      <c r="O108" s="25">
        <f t="shared" si="26"/>
        <v>0</v>
      </c>
      <c r="P108" s="25">
        <f t="shared" si="27"/>
        <v>0</v>
      </c>
      <c r="R108" s="7">
        <f t="shared" si="28"/>
        <v>0</v>
      </c>
    </row>
    <row r="109" spans="2:18" s="123" customFormat="1" ht="15.75" customHeight="1" x14ac:dyDescent="0.2">
      <c r="B109" s="42" t="str">
        <f>IF(COA!B106="","",COA!B106)</f>
        <v/>
      </c>
      <c r="C109" s="43"/>
      <c r="D109" s="44"/>
      <c r="E109" s="44"/>
      <c r="F109" s="44"/>
      <c r="G109" s="45" t="str">
        <f t="array" ref="G109">IFERROR(INDEX(COA_DEBET,MATCH(B109,KODEAKUN,0)),"")</f>
        <v/>
      </c>
      <c r="H109" s="45" t="str">
        <f t="array" ref="H109">IFERROR(INDEX(COA_KREDIT,MATCH(B109,KODEAKUN,0)),"")</f>
        <v/>
      </c>
      <c r="I109" s="45" t="str">
        <f t="shared" si="20"/>
        <v/>
      </c>
      <c r="J109" s="45" t="str">
        <f t="shared" si="21"/>
        <v/>
      </c>
      <c r="K109" s="45">
        <f t="shared" si="22"/>
        <v>0</v>
      </c>
      <c r="L109" s="25">
        <f t="shared" si="23"/>
        <v>0</v>
      </c>
      <c r="M109" s="45">
        <f t="shared" si="24"/>
        <v>0</v>
      </c>
      <c r="N109" s="25">
        <f t="shared" si="25"/>
        <v>0</v>
      </c>
      <c r="O109" s="25">
        <f t="shared" si="26"/>
        <v>0</v>
      </c>
      <c r="P109" s="25">
        <f t="shared" si="27"/>
        <v>0</v>
      </c>
      <c r="R109" s="7">
        <f t="shared" si="28"/>
        <v>0</v>
      </c>
    </row>
    <row r="110" spans="2:18" s="123" customFormat="1" ht="15.75" customHeight="1" x14ac:dyDescent="0.2">
      <c r="B110" s="42" t="str">
        <f>IF(COA!B107="","",COA!B107)</f>
        <v/>
      </c>
      <c r="C110" s="43"/>
      <c r="D110" s="44"/>
      <c r="E110" s="44"/>
      <c r="F110" s="44"/>
      <c r="G110" s="45" t="str">
        <f t="array" ref="G110">IFERROR(INDEX(COA_DEBET,MATCH(B110,KODEAKUN,0)),"")</f>
        <v/>
      </c>
      <c r="H110" s="45" t="str">
        <f t="array" ref="H110">IFERROR(INDEX(COA_KREDIT,MATCH(B110,KODEAKUN,0)),"")</f>
        <v/>
      </c>
      <c r="I110" s="45" t="str">
        <f t="shared" si="20"/>
        <v/>
      </c>
      <c r="J110" s="45" t="str">
        <f t="shared" si="21"/>
        <v/>
      </c>
      <c r="K110" s="45">
        <f t="shared" si="22"/>
        <v>0</v>
      </c>
      <c r="L110" s="25">
        <f t="shared" si="23"/>
        <v>0</v>
      </c>
      <c r="M110" s="45">
        <f t="shared" si="24"/>
        <v>0</v>
      </c>
      <c r="N110" s="25">
        <f t="shared" si="25"/>
        <v>0</v>
      </c>
      <c r="O110" s="25">
        <f t="shared" si="26"/>
        <v>0</v>
      </c>
      <c r="P110" s="25">
        <f t="shared" si="27"/>
        <v>0</v>
      </c>
      <c r="R110" s="7">
        <f t="shared" si="28"/>
        <v>0</v>
      </c>
    </row>
    <row r="111" spans="2:18" s="123" customFormat="1" ht="15.75" customHeight="1" x14ac:dyDescent="0.2">
      <c r="B111" s="42" t="str">
        <f>IF(COA!B158="","",COA!B158)</f>
        <v/>
      </c>
      <c r="C111" s="43"/>
      <c r="D111" s="44"/>
      <c r="E111" s="44"/>
      <c r="F111" s="44"/>
      <c r="G111" s="45" t="str">
        <f t="array" ref="G111">IFERROR(INDEX(COA_DEBET,MATCH(B111,KODEAKUN,0)),"")</f>
        <v/>
      </c>
      <c r="H111" s="45" t="str">
        <f t="array" ref="H111">IFERROR(INDEX(COA_KREDIT,MATCH(B111,KODEAKUN,0)),"")</f>
        <v/>
      </c>
      <c r="I111" s="45" t="str">
        <f t="shared" si="20"/>
        <v/>
      </c>
      <c r="J111" s="45" t="str">
        <f t="shared" si="21"/>
        <v/>
      </c>
      <c r="K111" s="45">
        <f t="shared" si="22"/>
        <v>0</v>
      </c>
      <c r="L111" s="25">
        <f t="shared" si="23"/>
        <v>0</v>
      </c>
      <c r="M111" s="45">
        <f t="shared" si="24"/>
        <v>0</v>
      </c>
      <c r="N111" s="25">
        <f t="shared" si="25"/>
        <v>0</v>
      </c>
      <c r="O111" s="25">
        <f t="shared" si="26"/>
        <v>0</v>
      </c>
      <c r="P111" s="25">
        <f t="shared" si="27"/>
        <v>0</v>
      </c>
      <c r="R111" s="7">
        <f t="shared" si="28"/>
        <v>0</v>
      </c>
    </row>
    <row r="112" spans="2:18" s="123" customFormat="1" ht="15.75" customHeight="1" x14ac:dyDescent="0.2">
      <c r="B112" s="42" t="str">
        <f>IF(COA!B159="","",COA!B159)</f>
        <v/>
      </c>
      <c r="C112" s="43"/>
      <c r="D112" s="44"/>
      <c r="E112" s="44"/>
      <c r="F112" s="44"/>
      <c r="G112" s="45" t="str">
        <f t="array" ref="G112">IFERROR(INDEX(COA_DEBET,MATCH(B112,KODEAKUN,0)),"")</f>
        <v/>
      </c>
      <c r="H112" s="45" t="str">
        <f t="array" ref="H112">IFERROR(INDEX(COA_KREDIT,MATCH(B112,KODEAKUN,0)),"")</f>
        <v/>
      </c>
      <c r="I112" s="45" t="str">
        <f t="shared" si="20"/>
        <v/>
      </c>
      <c r="J112" s="45" t="str">
        <f t="shared" si="21"/>
        <v/>
      </c>
      <c r="K112" s="45">
        <f t="shared" si="22"/>
        <v>0</v>
      </c>
      <c r="L112" s="25">
        <f t="shared" si="23"/>
        <v>0</v>
      </c>
      <c r="M112" s="45">
        <f t="shared" si="24"/>
        <v>0</v>
      </c>
      <c r="N112" s="25">
        <f t="shared" si="25"/>
        <v>0</v>
      </c>
      <c r="O112" s="25">
        <f t="shared" si="26"/>
        <v>0</v>
      </c>
      <c r="P112" s="25">
        <f t="shared" si="27"/>
        <v>0</v>
      </c>
      <c r="R112" s="7">
        <f t="shared" si="28"/>
        <v>0</v>
      </c>
    </row>
    <row r="113" spans="2:18" s="123" customFormat="1" ht="15.75" customHeight="1" x14ac:dyDescent="0.2">
      <c r="B113" s="42" t="str">
        <f>IF(COA!B160="","",COA!B160)</f>
        <v/>
      </c>
      <c r="C113" s="43"/>
      <c r="D113" s="44"/>
      <c r="E113" s="44"/>
      <c r="F113" s="44"/>
      <c r="G113" s="45" t="str">
        <f t="array" ref="G113">IFERROR(INDEX(COA_DEBET,MATCH(B113,KODEAKUN,0)),"")</f>
        <v/>
      </c>
      <c r="H113" s="45" t="str">
        <f t="array" ref="H113">IFERROR(INDEX(COA_KREDIT,MATCH(B113,KODEAKUN,0)),"")</f>
        <v/>
      </c>
      <c r="I113" s="45" t="str">
        <f t="shared" si="20"/>
        <v/>
      </c>
      <c r="J113" s="45" t="str">
        <f t="shared" si="21"/>
        <v/>
      </c>
      <c r="K113" s="45">
        <f t="shared" si="22"/>
        <v>0</v>
      </c>
      <c r="L113" s="25">
        <f t="shared" si="23"/>
        <v>0</v>
      </c>
      <c r="M113" s="45">
        <f t="shared" si="24"/>
        <v>0</v>
      </c>
      <c r="N113" s="25">
        <f t="shared" si="25"/>
        <v>0</v>
      </c>
      <c r="O113" s="25">
        <f t="shared" si="26"/>
        <v>0</v>
      </c>
      <c r="P113" s="25">
        <f t="shared" si="27"/>
        <v>0</v>
      </c>
      <c r="R113" s="7">
        <f t="shared" si="28"/>
        <v>0</v>
      </c>
    </row>
    <row r="114" spans="2:18" s="123" customFormat="1" ht="15.75" customHeight="1" x14ac:dyDescent="0.2">
      <c r="B114" s="42" t="str">
        <f>IF(COA!B161="","",COA!B161)</f>
        <v/>
      </c>
      <c r="C114" s="43"/>
      <c r="D114" s="44"/>
      <c r="E114" s="44"/>
      <c r="F114" s="44"/>
      <c r="G114" s="45" t="str">
        <f t="array" ref="G114">IFERROR(INDEX(COA_DEBET,MATCH(B114,KODEAKUN,0)),"")</f>
        <v/>
      </c>
      <c r="H114" s="45" t="str">
        <f t="array" ref="H114">IFERROR(INDEX(COA_KREDIT,MATCH(B114,KODEAKUN,0)),"")</f>
        <v/>
      </c>
      <c r="I114" s="45" t="str">
        <f t="shared" si="20"/>
        <v/>
      </c>
      <c r="J114" s="45" t="str">
        <f t="shared" si="21"/>
        <v/>
      </c>
      <c r="K114" s="45">
        <f t="shared" si="22"/>
        <v>0</v>
      </c>
      <c r="L114" s="25">
        <f t="shared" si="23"/>
        <v>0</v>
      </c>
      <c r="M114" s="45">
        <f t="shared" si="24"/>
        <v>0</v>
      </c>
      <c r="N114" s="25">
        <f t="shared" si="25"/>
        <v>0</v>
      </c>
      <c r="O114" s="25">
        <f t="shared" si="26"/>
        <v>0</v>
      </c>
      <c r="P114" s="25">
        <f t="shared" si="27"/>
        <v>0</v>
      </c>
      <c r="R114" s="7">
        <f t="shared" si="28"/>
        <v>0</v>
      </c>
    </row>
    <row r="115" spans="2:18" ht="15.75" customHeight="1" x14ac:dyDescent="0.2">
      <c r="B115" s="42" t="str">
        <f>IF(COA!B162="","",COA!B162)</f>
        <v/>
      </c>
      <c r="C115" s="43" t="str">
        <f t="array" ref="C115">IFERROR(INDEX(Nama_Akun,MATCH(B115,KODEAKUN,0)),"")</f>
        <v/>
      </c>
      <c r="D115" s="44" t="str">
        <f t="array" ref="D115">IFERROR(INDEX(Type,MATCH(B115,KODEAKUN,0)),"")</f>
        <v/>
      </c>
      <c r="E115" s="44" t="e">
        <f t="array" ref="E115">INDEX(Posisi,MATCH(D115,Type,0))</f>
        <v>#N/A</v>
      </c>
      <c r="F115" s="44" t="str">
        <f t="array" ref="F115">IFERROR(INDEX(SaldoNormal,MATCH(D115,Type,)),"")</f>
        <v/>
      </c>
      <c r="G115" s="45" t="str">
        <f t="array" ref="G115">IFERROR(INDEX(COA_DEBET,MATCH(B115,KODEAKUN,0)),"")</f>
        <v/>
      </c>
      <c r="H115" s="45" t="str">
        <f t="array" ref="H115">IFERROR(INDEX(COA_KREDIT,MATCH(B115,KODEAKUN,0)),"")</f>
        <v/>
      </c>
      <c r="I115" s="45" t="str">
        <f t="shared" si="0"/>
        <v/>
      </c>
      <c r="J115" s="45" t="str">
        <f t="shared" si="1"/>
        <v/>
      </c>
      <c r="K115" s="45">
        <f t="shared" si="2"/>
        <v>0</v>
      </c>
      <c r="L115" s="25">
        <f t="shared" si="3"/>
        <v>0</v>
      </c>
      <c r="M115" s="45" t="e">
        <f t="shared" ref="M115:M124" si="29">IF(E115="Laba Rugi",K115,0)</f>
        <v>#N/A</v>
      </c>
      <c r="N115" s="25" t="e">
        <f t="shared" ref="N115:N124" si="30">IF(E115="Laba Rugi",L115,0)</f>
        <v>#N/A</v>
      </c>
      <c r="O115" s="25" t="e">
        <f t="shared" ref="O115:O124" si="31">IF(E115="Neraca",K115,0)</f>
        <v>#N/A</v>
      </c>
      <c r="P115" s="25" t="e">
        <f t="shared" ref="P115:P124" si="32">IF(E115="Neraca",L115,0)</f>
        <v>#N/A</v>
      </c>
      <c r="R115" s="7">
        <f t="shared" si="10"/>
        <v>0</v>
      </c>
    </row>
    <row r="116" spans="2:18" ht="15.75" hidden="1" customHeight="1" outlineLevel="1" x14ac:dyDescent="0.2">
      <c r="B116" s="42">
        <f>IF(COA!B52="","",COA!B52)</f>
        <v>5430</v>
      </c>
      <c r="C116" s="43" t="str">
        <f t="array" ref="C116">IFERROR(INDEX(Nama_Akun,MATCH(B116,KODEAKUN,0)),"")</f>
        <v>server domainesia</v>
      </c>
      <c r="D116" s="44"/>
      <c r="E116" s="44"/>
      <c r="F116" s="44" t="str">
        <f t="array" ref="F116">IFERROR(INDEX(SaldoNormal,MATCH(D116,Type,)),"")</f>
        <v/>
      </c>
      <c r="G116" s="45">
        <f t="array" ref="G116">IFERROR(INDEX(COA_DEBET,MATCH(B116,KODEAKUN,0)),"")</f>
        <v>0</v>
      </c>
      <c r="H116" s="45">
        <f t="array" ref="H116">IFERROR(INDEX(COA_KREDIT,MATCH(B116,KODEAKUN,0)),"")</f>
        <v>0</v>
      </c>
      <c r="I116" s="45"/>
      <c r="J116" s="45"/>
      <c r="K116" s="45"/>
      <c r="L116" s="45"/>
      <c r="M116" s="45">
        <f t="shared" si="29"/>
        <v>0</v>
      </c>
      <c r="N116" s="25">
        <f t="shared" si="30"/>
        <v>0</v>
      </c>
      <c r="O116" s="25">
        <f t="shared" si="31"/>
        <v>0</v>
      </c>
      <c r="P116" s="25">
        <f t="shared" si="32"/>
        <v>0</v>
      </c>
      <c r="R116" s="7">
        <f t="shared" si="10"/>
        <v>0</v>
      </c>
    </row>
    <row r="117" spans="2:18" ht="15.75" hidden="1" customHeight="1" outlineLevel="1" x14ac:dyDescent="0.2">
      <c r="B117" s="42">
        <f>IF(COA!B53="","",COA!B53)</f>
        <v>5440</v>
      </c>
      <c r="C117" s="43" t="str">
        <f t="array" ref="C117">IFERROR(INDEX(Nama_Akun,MATCH(B117,KODEAKUN,0)),"")</f>
        <v>ADS</v>
      </c>
      <c r="D117" s="44"/>
      <c r="E117" s="44"/>
      <c r="F117" s="44" t="str">
        <f t="array" ref="F117">IFERROR(INDEX(SaldoNormal,MATCH(D117,Type,)),"")</f>
        <v/>
      </c>
      <c r="G117" s="45"/>
      <c r="H117" s="45"/>
      <c r="I117" s="45"/>
      <c r="J117" s="45"/>
      <c r="K117" s="45"/>
      <c r="L117" s="45"/>
      <c r="M117" s="45">
        <f t="shared" si="29"/>
        <v>0</v>
      </c>
      <c r="N117" s="25">
        <f t="shared" si="30"/>
        <v>0</v>
      </c>
      <c r="O117" s="25">
        <f t="shared" si="31"/>
        <v>0</v>
      </c>
      <c r="P117" s="25">
        <f t="shared" si="32"/>
        <v>0</v>
      </c>
      <c r="R117" s="7">
        <f t="shared" si="10"/>
        <v>0</v>
      </c>
    </row>
    <row r="118" spans="2:18" ht="15.75" hidden="1" customHeight="1" outlineLevel="1" x14ac:dyDescent="0.2">
      <c r="B118" s="42">
        <f>IF(COA!B54="","",COA!B54)</f>
        <v>5450</v>
      </c>
      <c r="C118" s="43"/>
      <c r="D118" s="44"/>
      <c r="E118" s="44"/>
      <c r="F118" s="44" t="str">
        <f t="array" ref="F118">IFERROR(INDEX(SaldoNormal,MATCH(D118,Type,)),"")</f>
        <v/>
      </c>
      <c r="G118" s="45"/>
      <c r="H118" s="45"/>
      <c r="I118" s="45"/>
      <c r="J118" s="45"/>
      <c r="K118" s="45"/>
      <c r="L118" s="45"/>
      <c r="M118" s="45">
        <f t="shared" si="29"/>
        <v>0</v>
      </c>
      <c r="N118" s="25">
        <f t="shared" si="30"/>
        <v>0</v>
      </c>
      <c r="O118" s="25">
        <f t="shared" si="31"/>
        <v>0</v>
      </c>
      <c r="P118" s="25">
        <f t="shared" si="32"/>
        <v>0</v>
      </c>
      <c r="R118" s="7">
        <f t="shared" si="10"/>
        <v>0</v>
      </c>
    </row>
    <row r="119" spans="2:18" ht="15.75" hidden="1" customHeight="1" outlineLevel="1" x14ac:dyDescent="0.2">
      <c r="B119" s="42">
        <f>IF(COA!B55="","",COA!B55)</f>
        <v>5460</v>
      </c>
      <c r="C119" s="43"/>
      <c r="D119" s="44"/>
      <c r="E119" s="44"/>
      <c r="F119" s="44" t="str">
        <f t="array" ref="F119">IFERROR(INDEX(SaldoNormal,MATCH(D119,Type,)),"")</f>
        <v/>
      </c>
      <c r="G119" s="45"/>
      <c r="H119" s="45"/>
      <c r="I119" s="45"/>
      <c r="J119" s="45"/>
      <c r="K119" s="45"/>
      <c r="L119" s="45"/>
      <c r="M119" s="45">
        <f t="shared" si="29"/>
        <v>0</v>
      </c>
      <c r="N119" s="25">
        <f t="shared" si="30"/>
        <v>0</v>
      </c>
      <c r="O119" s="25">
        <f t="shared" si="31"/>
        <v>0</v>
      </c>
      <c r="P119" s="25">
        <f t="shared" si="32"/>
        <v>0</v>
      </c>
      <c r="R119" s="7">
        <f t="shared" si="10"/>
        <v>0</v>
      </c>
    </row>
    <row r="120" spans="2:18" ht="15.75" hidden="1" customHeight="1" outlineLevel="1" x14ac:dyDescent="0.2">
      <c r="B120" s="42">
        <f>IF(COA!B56="","",COA!B56)</f>
        <v>5500</v>
      </c>
      <c r="C120" s="43"/>
      <c r="D120" s="44"/>
      <c r="E120" s="44"/>
      <c r="F120" s="44" t="str">
        <f t="array" ref="F120">IFERROR(INDEX(SaldoNormal,MATCH(D120,Type,)),"")</f>
        <v/>
      </c>
      <c r="G120" s="45"/>
      <c r="H120" s="45"/>
      <c r="I120" s="45"/>
      <c r="J120" s="45"/>
      <c r="K120" s="45"/>
      <c r="L120" s="45"/>
      <c r="M120" s="45">
        <f t="shared" si="29"/>
        <v>0</v>
      </c>
      <c r="N120" s="25">
        <f t="shared" si="30"/>
        <v>0</v>
      </c>
      <c r="O120" s="25">
        <f t="shared" si="31"/>
        <v>0</v>
      </c>
      <c r="P120" s="25">
        <f t="shared" si="32"/>
        <v>0</v>
      </c>
    </row>
    <row r="121" spans="2:18" ht="15.75" hidden="1" customHeight="1" outlineLevel="1" x14ac:dyDescent="0.2">
      <c r="B121" s="42">
        <f>IF(COA!B57="","",COA!B57)</f>
        <v>5510</v>
      </c>
      <c r="C121" s="43"/>
      <c r="D121" s="44"/>
      <c r="E121" s="44"/>
      <c r="F121" s="44" t="str">
        <f t="array" ref="F121">IFERROR(INDEX(SaldoNormal,MATCH(D121,Type,)),"")</f>
        <v/>
      </c>
      <c r="G121" s="45"/>
      <c r="H121" s="45"/>
      <c r="I121" s="45"/>
      <c r="J121" s="45"/>
      <c r="K121" s="45"/>
      <c r="L121" s="45"/>
      <c r="M121" s="45">
        <f t="shared" si="29"/>
        <v>0</v>
      </c>
      <c r="N121" s="25">
        <f t="shared" si="30"/>
        <v>0</v>
      </c>
      <c r="O121" s="25">
        <f t="shared" si="31"/>
        <v>0</v>
      </c>
      <c r="P121" s="25">
        <f t="shared" si="32"/>
        <v>0</v>
      </c>
    </row>
    <row r="122" spans="2:18" ht="15.75" hidden="1" customHeight="1" outlineLevel="1" x14ac:dyDescent="0.2">
      <c r="B122" s="42">
        <f>IF(COA!B58="","",COA!B58)</f>
        <v>5520</v>
      </c>
      <c r="C122" s="43"/>
      <c r="D122" s="44"/>
      <c r="E122" s="44"/>
      <c r="F122" s="44"/>
      <c r="G122" s="45"/>
      <c r="H122" s="45"/>
      <c r="I122" s="45"/>
      <c r="J122" s="45"/>
      <c r="K122" s="45"/>
      <c r="L122" s="45"/>
      <c r="M122" s="45">
        <f t="shared" si="29"/>
        <v>0</v>
      </c>
      <c r="N122" s="25">
        <f t="shared" si="30"/>
        <v>0</v>
      </c>
      <c r="O122" s="25">
        <f t="shared" si="31"/>
        <v>0</v>
      </c>
      <c r="P122" s="25">
        <f t="shared" si="32"/>
        <v>0</v>
      </c>
    </row>
    <row r="123" spans="2:18" ht="15.75" hidden="1" customHeight="1" outlineLevel="1" x14ac:dyDescent="0.2">
      <c r="B123" s="42">
        <f>IF(COA!B59="","",COA!B59)</f>
        <v>5530</v>
      </c>
      <c r="C123" s="43"/>
      <c r="D123" s="44"/>
      <c r="E123" s="44"/>
      <c r="F123" s="44"/>
      <c r="G123" s="45"/>
      <c r="H123" s="45"/>
      <c r="I123" s="45"/>
      <c r="J123" s="45"/>
      <c r="K123" s="45"/>
      <c r="L123" s="45"/>
      <c r="M123" s="45">
        <f t="shared" si="29"/>
        <v>0</v>
      </c>
      <c r="N123" s="25">
        <f t="shared" si="30"/>
        <v>0</v>
      </c>
      <c r="O123" s="25">
        <f t="shared" si="31"/>
        <v>0</v>
      </c>
      <c r="P123" s="25">
        <f t="shared" si="32"/>
        <v>0</v>
      </c>
    </row>
    <row r="124" spans="2:18" ht="15.75" hidden="1" customHeight="1" outlineLevel="1" x14ac:dyDescent="0.2">
      <c r="B124" s="42">
        <f>IF(COA!B60="","",COA!B60)</f>
        <v>5540</v>
      </c>
      <c r="C124" s="43"/>
      <c r="D124" s="44"/>
      <c r="E124" s="44"/>
      <c r="F124" s="44"/>
      <c r="G124" s="45"/>
      <c r="H124" s="45"/>
      <c r="I124" s="45"/>
      <c r="J124" s="45"/>
      <c r="K124" s="45"/>
      <c r="L124" s="45"/>
      <c r="M124" s="45">
        <f t="shared" si="29"/>
        <v>0</v>
      </c>
      <c r="N124" s="25">
        <f t="shared" si="30"/>
        <v>0</v>
      </c>
      <c r="O124" s="25">
        <f t="shared" si="31"/>
        <v>0</v>
      </c>
      <c r="P124" s="25">
        <f t="shared" si="32"/>
        <v>0</v>
      </c>
    </row>
    <row r="125" spans="2:18" ht="15.75" customHeight="1" collapsed="1" x14ac:dyDescent="0.2">
      <c r="B125" s="242" t="s">
        <v>78</v>
      </c>
      <c r="C125" s="220"/>
      <c r="D125" s="46"/>
      <c r="E125" s="46"/>
      <c r="F125" s="47"/>
      <c r="G125" s="48">
        <f t="shared" ref="G125:P125" si="33">SUM(G8:G124)</f>
        <v>0</v>
      </c>
      <c r="H125" s="48">
        <f t="shared" si="33"/>
        <v>0</v>
      </c>
      <c r="I125" s="48">
        <f t="shared" si="33"/>
        <v>128654329</v>
      </c>
      <c r="J125" s="48">
        <f t="shared" si="33"/>
        <v>216812242</v>
      </c>
      <c r="K125" s="48">
        <f t="shared" si="33"/>
        <v>-13357594</v>
      </c>
      <c r="L125" s="49">
        <f t="shared" si="33"/>
        <v>-22753162</v>
      </c>
      <c r="M125" s="48" t="e">
        <f t="shared" si="33"/>
        <v>#N/A</v>
      </c>
      <c r="N125" s="48" t="e">
        <f t="shared" si="33"/>
        <v>#N/A</v>
      </c>
      <c r="O125" s="48" t="e">
        <f t="shared" si="33"/>
        <v>#N/A</v>
      </c>
      <c r="P125" s="48" t="e">
        <f t="shared" si="33"/>
        <v>#N/A</v>
      </c>
    </row>
    <row r="126" spans="2:18" ht="15.75" customHeight="1" x14ac:dyDescent="0.2">
      <c r="L126" s="50" t="e">
        <f>IF(N126&gt;0,"LABA","RUGI")</f>
        <v>#N/A</v>
      </c>
      <c r="M126" s="51"/>
      <c r="N126" s="52" t="e">
        <f>N125-M125</f>
        <v>#N/A</v>
      </c>
      <c r="O126" s="52"/>
      <c r="P126" s="52" t="e">
        <f>O125-P125</f>
        <v>#N/A</v>
      </c>
    </row>
    <row r="127" spans="2:18" ht="15.75" customHeight="1" x14ac:dyDescent="0.2">
      <c r="N127" s="50" t="e">
        <f>IF(O127=P127,"BALANCE","TIDAK BALANCE")</f>
        <v>#N/A</v>
      </c>
      <c r="O127" s="53" t="e">
        <f t="shared" ref="O127:P127" si="34">O125+O126</f>
        <v>#N/A</v>
      </c>
      <c r="P127" s="53" t="e">
        <f t="shared" si="34"/>
        <v>#N/A</v>
      </c>
    </row>
    <row r="128" spans="2:1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  <row r="1050" ht="15.75" customHeight="1" x14ac:dyDescent="0.15"/>
    <row r="1051" ht="15.75" customHeight="1" x14ac:dyDescent="0.15"/>
    <row r="1052" ht="15.75" customHeight="1" x14ac:dyDescent="0.15"/>
    <row r="1053" ht="15.75" customHeight="1" x14ac:dyDescent="0.15"/>
    <row r="1054" ht="15.75" customHeight="1" x14ac:dyDescent="0.15"/>
    <row r="1055" ht="15.75" customHeight="1" x14ac:dyDescent="0.15"/>
    <row r="1056" ht="15.75" customHeight="1" x14ac:dyDescent="0.15"/>
    <row r="1057" ht="15.75" customHeight="1" x14ac:dyDescent="0.15"/>
    <row r="1058" ht="15.75" customHeight="1" x14ac:dyDescent="0.15"/>
    <row r="1059" ht="15.75" customHeight="1" x14ac:dyDescent="0.15"/>
    <row r="1060" ht="15.75" customHeight="1" x14ac:dyDescent="0.15"/>
    <row r="1061" ht="15.75" customHeight="1" x14ac:dyDescent="0.15"/>
    <row r="1062" ht="15.75" customHeight="1" x14ac:dyDescent="0.15"/>
    <row r="1063" ht="15.75" customHeight="1" x14ac:dyDescent="0.15"/>
    <row r="1064" ht="15.75" customHeight="1" x14ac:dyDescent="0.15"/>
    <row r="1065" ht="15.75" customHeight="1" x14ac:dyDescent="0.15"/>
    <row r="1066" ht="15.75" customHeight="1" x14ac:dyDescent="0.15"/>
    <row r="1067" ht="15.75" customHeight="1" x14ac:dyDescent="0.15"/>
    <row r="1068" ht="15.75" customHeight="1" x14ac:dyDescent="0.15"/>
    <row r="1069" ht="15.75" customHeight="1" x14ac:dyDescent="0.15"/>
    <row r="1070" ht="15.75" customHeight="1" x14ac:dyDescent="0.15"/>
    <row r="1071" ht="15.75" customHeight="1" x14ac:dyDescent="0.15"/>
    <row r="1072" ht="15.75" customHeight="1" x14ac:dyDescent="0.15"/>
    <row r="1073" ht="15.75" customHeight="1" x14ac:dyDescent="0.15"/>
    <row r="1074" ht="15.75" customHeight="1" x14ac:dyDescent="0.15"/>
    <row r="1075" ht="15.75" customHeight="1" x14ac:dyDescent="0.15"/>
    <row r="1076" ht="15.75" customHeight="1" x14ac:dyDescent="0.15"/>
    <row r="1077" ht="15.75" customHeight="1" x14ac:dyDescent="0.15"/>
    <row r="1078" ht="15.75" customHeight="1" x14ac:dyDescent="0.15"/>
    <row r="1079" ht="15.75" customHeight="1" x14ac:dyDescent="0.15"/>
    <row r="1080" ht="15.75" customHeight="1" x14ac:dyDescent="0.15"/>
  </sheetData>
  <autoFilter ref="R8:R119" xr:uid="{00000000-0009-0000-0000-000005000000}"/>
  <mergeCells count="14">
    <mergeCell ref="B125:C125"/>
    <mergeCell ref="I6:J6"/>
    <mergeCell ref="K6:L6"/>
    <mergeCell ref="M6:N6"/>
    <mergeCell ref="O6:P6"/>
    <mergeCell ref="B2:P2"/>
    <mergeCell ref="B3:P3"/>
    <mergeCell ref="B4:P4"/>
    <mergeCell ref="B6:B7"/>
    <mergeCell ref="C6:C7"/>
    <mergeCell ref="D6:D7"/>
    <mergeCell ref="E6:E7"/>
    <mergeCell ref="F6:F7"/>
    <mergeCell ref="G6:H6"/>
  </mergeCells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989"/>
  <sheetViews>
    <sheetView workbookViewId="0">
      <selection activeCell="L17" sqref="L17"/>
    </sheetView>
  </sheetViews>
  <sheetFormatPr baseColWidth="10" defaultColWidth="12.6640625" defaultRowHeight="15" customHeight="1" outlineLevelCol="2" x14ac:dyDescent="0.15"/>
  <cols>
    <col min="1" max="1" width="12" customWidth="1"/>
    <col min="2" max="2" width="8.6640625" customWidth="1"/>
    <col min="3" max="3" width="36.6640625" customWidth="1"/>
    <col min="4" max="4" width="15.83203125" customWidth="1"/>
    <col min="5" max="5" width="15.83203125" style="166" customWidth="1"/>
    <col min="6" max="6" width="2.6640625" customWidth="1"/>
    <col min="7" max="7" width="15.1640625" hidden="1" customWidth="1" outlineLevel="2"/>
    <col min="8" max="8" width="16.6640625" hidden="1" customWidth="1" outlineLevel="2"/>
    <col min="9" max="9" width="9.1640625" hidden="1" customWidth="1" outlineLevel="2"/>
    <col min="10" max="10" width="21" hidden="1" customWidth="1" outlineLevel="1"/>
    <col min="11" max="11" width="17" hidden="1" customWidth="1" outlineLevel="1"/>
    <col min="12" max="12" width="23.6640625" customWidth="1" collapsed="1"/>
    <col min="13" max="13" width="16.6640625" customWidth="1"/>
    <col min="14" max="27" width="14.33203125" customWidth="1"/>
  </cols>
  <sheetData>
    <row r="1" spans="2:18" ht="16" thickBot="1" x14ac:dyDescent="0.25">
      <c r="G1" s="54"/>
      <c r="I1" s="55"/>
    </row>
    <row r="2" spans="2:18" ht="16" thickBot="1" x14ac:dyDescent="0.25">
      <c r="B2" s="250" t="str">
        <f>NRL!B2</f>
        <v>PT. TERANG GARAM SOLUSINDO</v>
      </c>
      <c r="C2" s="250"/>
      <c r="D2" s="250"/>
      <c r="E2" s="250"/>
      <c r="G2" s="54"/>
      <c r="I2" s="55"/>
      <c r="O2" s="244" t="s">
        <v>288</v>
      </c>
      <c r="P2" s="245"/>
      <c r="Q2" s="245"/>
      <c r="R2" s="246"/>
    </row>
    <row r="3" spans="2:18" ht="16" thickBot="1" x14ac:dyDescent="0.25">
      <c r="B3" s="251" t="s">
        <v>289</v>
      </c>
      <c r="C3" s="251"/>
      <c r="D3" s="251"/>
      <c r="E3" s="251"/>
      <c r="G3" s="54"/>
      <c r="I3" s="55"/>
      <c r="O3" s="244" t="s">
        <v>289</v>
      </c>
      <c r="P3" s="245"/>
      <c r="Q3" s="245"/>
      <c r="R3" s="246"/>
    </row>
    <row r="4" spans="2:18" ht="16" thickBot="1" x14ac:dyDescent="0.25">
      <c r="B4" s="250" t="str">
        <f>NRL!B4</f>
        <v>PERIODE</v>
      </c>
      <c r="C4" s="250"/>
      <c r="D4" s="250"/>
      <c r="E4" s="250"/>
      <c r="G4" s="54"/>
      <c r="I4" s="55"/>
      <c r="O4" s="247" t="s">
        <v>290</v>
      </c>
      <c r="P4" s="248"/>
      <c r="Q4" s="248"/>
      <c r="R4" s="249"/>
    </row>
    <row r="5" spans="2:18" ht="18" thickTop="1" thickBot="1" x14ac:dyDescent="0.25">
      <c r="G5" s="54"/>
      <c r="I5" s="55"/>
      <c r="O5" s="131" t="s">
        <v>129</v>
      </c>
      <c r="P5" s="132" t="s">
        <v>37</v>
      </c>
      <c r="Q5" s="133"/>
      <c r="R5" s="134"/>
    </row>
    <row r="6" spans="2:18" ht="16" thickBot="1" x14ac:dyDescent="0.25">
      <c r="B6" s="189" t="s">
        <v>67</v>
      </c>
      <c r="C6" s="189" t="s">
        <v>79</v>
      </c>
      <c r="D6" s="189" t="s">
        <v>80</v>
      </c>
      <c r="E6" s="188"/>
      <c r="F6" s="58"/>
      <c r="G6" s="59" t="s">
        <v>81</v>
      </c>
      <c r="H6" s="59" t="s">
        <v>82</v>
      </c>
      <c r="I6" s="60" t="s">
        <v>7</v>
      </c>
      <c r="J6" s="58"/>
      <c r="K6" s="58"/>
      <c r="L6" s="56" t="s">
        <v>79</v>
      </c>
      <c r="M6" s="57" t="s">
        <v>80</v>
      </c>
      <c r="O6" s="135" t="s">
        <v>130</v>
      </c>
      <c r="P6" s="136" t="s">
        <v>291</v>
      </c>
      <c r="Q6" s="137">
        <v>284789665</v>
      </c>
      <c r="R6" s="138">
        <v>0.95750000000000002</v>
      </c>
    </row>
    <row r="7" spans="2:18" ht="13.75" customHeight="1" thickBot="1" x14ac:dyDescent="0.25">
      <c r="B7" s="164"/>
      <c r="C7" s="164"/>
      <c r="D7" s="164"/>
      <c r="E7" s="167"/>
      <c r="G7" s="61"/>
      <c r="H7" s="61"/>
      <c r="I7" s="55"/>
      <c r="J7" s="7" t="s">
        <v>37</v>
      </c>
      <c r="K7" s="31">
        <f t="shared" ref="K7:K10" si="0">D9</f>
        <v>-124642329</v>
      </c>
      <c r="L7" s="54"/>
      <c r="M7" s="55"/>
      <c r="O7" s="139" t="s">
        <v>292</v>
      </c>
      <c r="P7" s="140" t="s">
        <v>285</v>
      </c>
      <c r="Q7" s="141">
        <v>12643912</v>
      </c>
      <c r="R7" s="142">
        <v>4.2500000000000003E-2</v>
      </c>
    </row>
    <row r="8" spans="2:18" ht="17" thickTop="1" thickBot="1" x14ac:dyDescent="0.25">
      <c r="B8" s="190" t="s">
        <v>37</v>
      </c>
      <c r="C8" s="164"/>
      <c r="D8" s="164"/>
      <c r="E8" s="167"/>
      <c r="G8" s="61"/>
      <c r="H8" s="61"/>
      <c r="I8" s="55"/>
      <c r="J8" s="7" t="s">
        <v>37</v>
      </c>
      <c r="K8" s="31">
        <f t="shared" si="0"/>
        <v>0</v>
      </c>
      <c r="L8" s="62" t="s">
        <v>83</v>
      </c>
      <c r="M8" s="63">
        <f>D13</f>
        <v>-126305329</v>
      </c>
      <c r="O8" s="254" t="s">
        <v>293</v>
      </c>
      <c r="P8" s="255"/>
      <c r="Q8" s="143">
        <v>297433577</v>
      </c>
      <c r="R8" s="144">
        <v>1</v>
      </c>
    </row>
    <row r="9" spans="2:18" ht="17" thickTop="1" thickBot="1" x14ac:dyDescent="0.25">
      <c r="B9" s="164">
        <f>NRL!B24</f>
        <v>4110</v>
      </c>
      <c r="C9" s="191" t="str">
        <f t="array" ref="C9">IFERROR(INDEX(Nama_Akun,MATCH(B9,KODEAKUN,0)),"")</f>
        <v>Pendapatan jasa</v>
      </c>
      <c r="D9" s="165">
        <f>IF(I9="Kredit",H9-G9,G9-H9)</f>
        <v>-124642329</v>
      </c>
      <c r="E9" s="168"/>
      <c r="F9" s="31"/>
      <c r="G9" s="65">
        <f t="array" ref="G9">INDEX(NRCLDB,MATCH(B9,NRCLKODE,0))</f>
        <v>0</v>
      </c>
      <c r="H9" s="65">
        <f t="array" ref="H9">INDEX(NRCLKR,MATCH(B9,NRCLKODE,0))</f>
        <v>-124642329</v>
      </c>
      <c r="I9" s="63" t="str">
        <f t="array" ref="I9">INDEX(NRCLSN,MATCH(B9,NRCLKODE,0))</f>
        <v>Kredit</v>
      </c>
      <c r="J9" s="7" t="s">
        <v>37</v>
      </c>
      <c r="K9" s="31">
        <f t="shared" si="0"/>
        <v>-1663000</v>
      </c>
      <c r="L9" s="62" t="s">
        <v>84</v>
      </c>
      <c r="M9" s="63">
        <f>D19</f>
        <v>-150000</v>
      </c>
      <c r="O9" s="145"/>
      <c r="P9" s="146"/>
      <c r="Q9" s="146"/>
      <c r="R9" s="147"/>
    </row>
    <row r="10" spans="2:18" ht="17" thickBot="1" x14ac:dyDescent="0.25">
      <c r="B10" s="164">
        <f>NRL!B29</f>
        <v>4160</v>
      </c>
      <c r="C10" s="191" t="str">
        <f t="array" ref="C10">IFERROR(INDEX(Nama_Akun,MATCH(B10,KODEAKUN,0)),"")</f>
        <v>pendapatan ongkir</v>
      </c>
      <c r="D10" s="165">
        <f>IF(I10="Kredit",H10-G10,G10-H10)</f>
        <v>0</v>
      </c>
      <c r="E10" s="168"/>
      <c r="F10" s="31"/>
      <c r="G10" s="65">
        <f t="array" ref="G10">INDEX(NRCLDB,MATCH(B10,NRCLKODE,0))</f>
        <v>0</v>
      </c>
      <c r="H10" s="65">
        <f t="array" ref="H10">INDEX(NRCLKR,MATCH(B10,NRCLKODE,0))</f>
        <v>0</v>
      </c>
      <c r="I10" s="63" t="str">
        <f t="array" ref="I10">INDEX(NRCLSN,MATCH(B10,NRCLKODE,0))</f>
        <v>Kredit</v>
      </c>
      <c r="J10" s="7" t="s">
        <v>37</v>
      </c>
      <c r="K10" s="31">
        <f t="shared" si="0"/>
        <v>0</v>
      </c>
      <c r="L10" s="62" t="s">
        <v>85</v>
      </c>
      <c r="M10" s="66">
        <f>M8-M9</f>
        <v>-126155329</v>
      </c>
      <c r="O10" s="148"/>
      <c r="P10" s="149" t="s">
        <v>286</v>
      </c>
      <c r="Q10" s="150">
        <v>3711413</v>
      </c>
      <c r="R10" s="151"/>
    </row>
    <row r="11" spans="2:18" ht="17" thickBot="1" x14ac:dyDescent="0.25">
      <c r="B11" s="164">
        <f>NRL!B27</f>
        <v>4140</v>
      </c>
      <c r="C11" s="191" t="str">
        <f t="array" ref="C11">IFERROR(INDEX(Nama_Akun,MATCH(B11,KODEAKUN,0)),"")</f>
        <v>pendapatan jasa eiger</v>
      </c>
      <c r="D11" s="165">
        <f>IF(I11="Kredit",H11-G11,G11-H11)</f>
        <v>-1663000</v>
      </c>
      <c r="E11" s="168"/>
      <c r="F11" s="31"/>
      <c r="G11" s="65">
        <f t="array" ref="G11">INDEX(NRCLDB,MATCH(B11,NRCLKODE,0))</f>
        <v>0</v>
      </c>
      <c r="H11" s="65">
        <f t="array" ref="H11">INDEX(NRCLKR,MATCH(B11,NRCLKODE,0))</f>
        <v>-1663000</v>
      </c>
      <c r="I11" s="63" t="str">
        <f t="array" ref="I11">INDEX(NRCLSN,MATCH(B11,NRCLKODE,0))</f>
        <v>Kredit</v>
      </c>
      <c r="J11" s="7" t="s">
        <v>37</v>
      </c>
      <c r="K11" s="31" t="e">
        <f>#REF!</f>
        <v>#REF!</v>
      </c>
      <c r="L11" s="62" t="s">
        <v>86</v>
      </c>
      <c r="M11" s="63">
        <f>D87</f>
        <v>0</v>
      </c>
      <c r="O11" s="152"/>
      <c r="P11" s="153" t="s">
        <v>293</v>
      </c>
      <c r="Q11" s="154">
        <v>293722164</v>
      </c>
      <c r="R11" s="155"/>
    </row>
    <row r="12" spans="2:18" ht="33" thickBot="1" x14ac:dyDescent="0.25">
      <c r="B12" s="164"/>
      <c r="C12" s="191" t="str">
        <f t="array" ref="C12">IFERROR(INDEX(Nama_Akun,MATCH(B12,KODEAKUN,0)),"")</f>
        <v/>
      </c>
      <c r="D12" s="165"/>
      <c r="E12" s="168"/>
      <c r="F12" s="31"/>
      <c r="G12" s="65" t="e">
        <f t="array" ref="G12">INDEX(NRCLDB,MATCH(B12,NRCLKODE,0))</f>
        <v>#N/A</v>
      </c>
      <c r="H12" s="65" t="e">
        <f t="array" ref="H12">INDEX(NRCLKR,MATCH(B12,NRCLKODE,0))</f>
        <v>#N/A</v>
      </c>
      <c r="I12" s="63" t="e">
        <f t="array" ref="I12">INDEX(NRCLSN,MATCH(B12,NRCLKODE,0))</f>
        <v>#N/A</v>
      </c>
      <c r="J12" s="7" t="s">
        <v>37</v>
      </c>
      <c r="K12" s="31" t="e">
        <f>#REF!</f>
        <v>#REF!</v>
      </c>
      <c r="L12" s="67" t="s">
        <v>87</v>
      </c>
      <c r="M12" s="68">
        <f>M10-M11</f>
        <v>-126155329</v>
      </c>
      <c r="O12" s="131" t="s">
        <v>131</v>
      </c>
      <c r="P12" s="132" t="s">
        <v>132</v>
      </c>
      <c r="Q12" s="133"/>
      <c r="R12" s="134"/>
    </row>
    <row r="13" spans="2:18" ht="16" thickBot="1" x14ac:dyDescent="0.25">
      <c r="B13" s="192" t="s">
        <v>88</v>
      </c>
      <c r="C13" s="193"/>
      <c r="D13" s="194">
        <f>SUM(D9:D12)</f>
        <v>-126305329</v>
      </c>
      <c r="E13" s="187"/>
      <c r="F13" s="31"/>
      <c r="G13" s="65" t="e">
        <f t="array" ref="G13">INDEX(NRCLDB,MATCH(#REF!,NRCLKODE,0))</f>
        <v>#REF!</v>
      </c>
      <c r="H13" s="65" t="e">
        <f t="array" ref="H13">INDEX(NRCLKR,MATCH(#REF!,NRCLKODE,0))</f>
        <v>#REF!</v>
      </c>
      <c r="I13" s="63" t="e">
        <f t="array" ref="I13">INDEX(NRCLSN,MATCH(#REF!,NRCLKODE,0))</f>
        <v>#REF!</v>
      </c>
      <c r="J13" s="7"/>
      <c r="K13" s="31" t="e">
        <f>#REF!</f>
        <v>#REF!</v>
      </c>
      <c r="O13" s="135" t="s">
        <v>133</v>
      </c>
      <c r="P13" s="136" t="s">
        <v>294</v>
      </c>
      <c r="Q13" s="137">
        <v>15000</v>
      </c>
      <c r="R13" s="138">
        <v>2.9999999999999997E-4</v>
      </c>
    </row>
    <row r="14" spans="2:18" ht="16" thickBot="1" x14ac:dyDescent="0.25">
      <c r="B14" s="164"/>
      <c r="C14" s="164"/>
      <c r="D14" s="165"/>
      <c r="E14" s="168"/>
      <c r="F14" s="31"/>
      <c r="G14" s="65" t="e">
        <f t="array" ref="G14">INDEX(NRCLDB,MATCH(#REF!,NRCLKODE,0))</f>
        <v>#REF!</v>
      </c>
      <c r="H14" s="65" t="e">
        <f t="array" ref="H14">INDEX(NRCLKR,MATCH(#REF!,NRCLKODE,0))</f>
        <v>#REF!</v>
      </c>
      <c r="I14" s="63" t="e">
        <f t="array" ref="I14">INDEX(NRCLSN,MATCH(#REF!,NRCLKODE,0))</f>
        <v>#REF!</v>
      </c>
      <c r="J14" s="7"/>
      <c r="K14" s="31">
        <f>D13</f>
        <v>-126305329</v>
      </c>
      <c r="O14" s="135" t="s">
        <v>134</v>
      </c>
      <c r="P14" s="136" t="s">
        <v>135</v>
      </c>
      <c r="Q14" s="137">
        <v>1986408</v>
      </c>
      <c r="R14" s="138">
        <v>4.2599999999999999E-2</v>
      </c>
    </row>
    <row r="15" spans="2:18" ht="16" thickBot="1" x14ac:dyDescent="0.25">
      <c r="B15" s="192" t="s">
        <v>326</v>
      </c>
      <c r="C15" s="193"/>
      <c r="D15" s="195"/>
      <c r="E15" s="186"/>
      <c r="F15" s="31"/>
      <c r="G15" s="65"/>
      <c r="H15" s="65"/>
      <c r="I15" s="63"/>
      <c r="J15" s="7"/>
      <c r="K15" s="31">
        <f>D14</f>
        <v>0</v>
      </c>
      <c r="O15" s="135" t="s">
        <v>136</v>
      </c>
      <c r="P15" s="136" t="s">
        <v>295</v>
      </c>
      <c r="Q15" s="137">
        <v>11000720</v>
      </c>
      <c r="R15" s="138">
        <v>0.2361</v>
      </c>
    </row>
    <row r="16" spans="2:18" ht="16" thickBot="1" x14ac:dyDescent="0.25">
      <c r="B16" s="164">
        <f>NRL!B30</f>
        <v>4170</v>
      </c>
      <c r="C16" s="191" t="str">
        <f t="array" ref="C16">IFERROR(INDEX(Nama_Akun,MATCH(B16,KODEAKUN,0)),"")</f>
        <v>Retur &amp; Refund</v>
      </c>
      <c r="D16" s="165">
        <f>IF(I19="Kredit",H19-G19,G19-H19)</f>
        <v>-150000</v>
      </c>
      <c r="E16" s="168"/>
      <c r="F16" s="31"/>
      <c r="G16" s="65"/>
      <c r="H16" s="65"/>
      <c r="I16" s="63"/>
      <c r="J16" s="7"/>
      <c r="K16" s="31">
        <f>D15</f>
        <v>0</v>
      </c>
      <c r="O16" s="135" t="s">
        <v>138</v>
      </c>
      <c r="P16" s="136" t="s">
        <v>296</v>
      </c>
      <c r="Q16" s="156" t="s">
        <v>297</v>
      </c>
      <c r="R16" s="138">
        <v>0</v>
      </c>
    </row>
    <row r="17" spans="2:18" ht="16" thickBot="1" x14ac:dyDescent="0.25">
      <c r="B17" s="164">
        <f>NRL!B84</f>
        <v>6120</v>
      </c>
      <c r="C17" s="191" t="str">
        <f t="array" ref="C17">IFERROR(INDEX(Nama_Akun,MATCH(B17,KODEAKUN,0)),"")</f>
        <v xml:space="preserve">kompensasi </v>
      </c>
      <c r="D17" s="165">
        <f>IF(I20="Kredit",H20-G20,G20-H20)</f>
        <v>0</v>
      </c>
      <c r="E17" s="168"/>
      <c r="F17" s="31"/>
      <c r="G17" s="65"/>
      <c r="H17" s="65"/>
      <c r="I17" s="63"/>
      <c r="J17" s="7" t="s">
        <v>40</v>
      </c>
      <c r="K17" s="31">
        <f>D16</f>
        <v>-150000</v>
      </c>
      <c r="O17" s="135" t="s">
        <v>139</v>
      </c>
      <c r="P17" s="136" t="s">
        <v>298</v>
      </c>
      <c r="Q17" s="137">
        <v>20734169</v>
      </c>
      <c r="R17" s="138">
        <v>0.44490000000000002</v>
      </c>
    </row>
    <row r="18" spans="2:18" ht="16" thickBot="1" x14ac:dyDescent="0.25">
      <c r="B18" s="164"/>
      <c r="C18" s="164"/>
      <c r="D18" s="165"/>
      <c r="E18" s="168"/>
      <c r="F18" s="31"/>
      <c r="G18" s="65"/>
      <c r="H18" s="65"/>
      <c r="I18" s="63"/>
      <c r="J18" s="7" t="s">
        <v>40</v>
      </c>
      <c r="K18" s="31">
        <f>D17</f>
        <v>0</v>
      </c>
      <c r="O18" s="135" t="s">
        <v>299</v>
      </c>
      <c r="P18" s="136" t="s">
        <v>137</v>
      </c>
      <c r="Q18" s="137">
        <v>2186953</v>
      </c>
      <c r="R18" s="138">
        <v>4.6899999999999997E-2</v>
      </c>
    </row>
    <row r="19" spans="2:18" ht="16" thickBot="1" x14ac:dyDescent="0.25">
      <c r="B19" s="192" t="s">
        <v>328</v>
      </c>
      <c r="C19" s="193"/>
      <c r="D19" s="194">
        <f>SUM(D16:D18)</f>
        <v>-150000</v>
      </c>
      <c r="E19" s="185"/>
      <c r="F19" s="31"/>
      <c r="G19" s="65">
        <f t="array" ref="G19">INDEX(NRCLDB,MATCH(B16,NRCLKODE,0))</f>
        <v>-150000</v>
      </c>
      <c r="H19" s="65">
        <f t="array" ref="H19">INDEX(NRCLKR,MATCH(B16,NRCLKODE,0))</f>
        <v>0</v>
      </c>
      <c r="I19" s="63" t="str">
        <f t="array" ref="I19">INDEX(NRCLSN,MATCH(B16,NRCLKODE,0))</f>
        <v>Debet</v>
      </c>
      <c r="J19" s="7" t="s">
        <v>40</v>
      </c>
      <c r="K19" s="31" t="e">
        <f>#REF!</f>
        <v>#REF!</v>
      </c>
      <c r="O19" s="135" t="s">
        <v>300</v>
      </c>
      <c r="P19" s="136" t="s">
        <v>140</v>
      </c>
      <c r="Q19" s="156" t="s">
        <v>297</v>
      </c>
      <c r="R19" s="138">
        <v>0</v>
      </c>
    </row>
    <row r="20" spans="2:18" ht="14.5" customHeight="1" thickBot="1" x14ac:dyDescent="0.25">
      <c r="B20" s="196"/>
      <c r="C20" s="196"/>
      <c r="D20" s="196"/>
      <c r="F20" s="31"/>
      <c r="G20" s="65">
        <f t="array" ref="G20">INDEX(NRCLDB,MATCH(B17,NRCLKODE,0))</f>
        <v>0</v>
      </c>
      <c r="H20" s="65">
        <f t="array" ref="H20">INDEX(NRCLKR,MATCH(B17,NRCLKODE,0))</f>
        <v>0</v>
      </c>
      <c r="I20" s="63">
        <f t="array" ref="I20">INDEX(NRCLSN,MATCH(B17,NRCLKODE,0))</f>
        <v>0</v>
      </c>
      <c r="J20" s="7"/>
      <c r="K20" s="31">
        <f>D18</f>
        <v>0</v>
      </c>
      <c r="O20" s="139" t="s">
        <v>301</v>
      </c>
      <c r="P20" s="140" t="s">
        <v>302</v>
      </c>
      <c r="Q20" s="141">
        <v>10680000</v>
      </c>
      <c r="R20" s="142">
        <v>0.22919999999999999</v>
      </c>
    </row>
    <row r="21" spans="2:18" ht="15.75" customHeight="1" thickTop="1" thickBot="1" x14ac:dyDescent="0.25">
      <c r="B21" s="192" t="s">
        <v>132</v>
      </c>
      <c r="C21" s="193"/>
      <c r="D21" s="195"/>
      <c r="E21" s="185"/>
      <c r="F21" s="31"/>
      <c r="G21" s="65" t="e">
        <f t="array" ref="G21">INDEX(NRCLDB,MATCH(#REF!,NRCLKODE,0))</f>
        <v>#REF!</v>
      </c>
      <c r="H21" s="65" t="e">
        <f t="array" ref="H21">INDEX(NRCLKR,MATCH(#REF!,NRCLKODE,0))</f>
        <v>#REF!</v>
      </c>
      <c r="I21" s="63" t="e">
        <f t="array" ref="I21">INDEX(NRCLSN,MATCH(#REF!,NRCLKODE,0))</f>
        <v>#REF!</v>
      </c>
      <c r="J21" s="7"/>
      <c r="K21" s="31">
        <f>D19</f>
        <v>-150000</v>
      </c>
      <c r="O21" s="254" t="s">
        <v>303</v>
      </c>
      <c r="P21" s="255"/>
      <c r="Q21" s="143">
        <v>46603250</v>
      </c>
      <c r="R21" s="157">
        <v>0.15670000000000001</v>
      </c>
    </row>
    <row r="22" spans="2:18" ht="15.75" customHeight="1" thickTop="1" thickBot="1" x14ac:dyDescent="0.25">
      <c r="B22" s="164">
        <f>COA!B28</f>
        <v>5010</v>
      </c>
      <c r="C22" s="191" t="str">
        <f t="array" ref="C22">IFERROR(INDEX(Nama_Akun,MATCH(B22,KODEAKUN,0)),"")</f>
        <v>Hpp sole</v>
      </c>
      <c r="D22" s="165">
        <f>IF(I25="Kredit",H25-G25,G25-H25)</f>
        <v>0</v>
      </c>
      <c r="E22" s="168"/>
      <c r="F22" s="31"/>
      <c r="G22" s="65"/>
      <c r="H22" s="65"/>
      <c r="I22" s="63"/>
      <c r="J22" s="7"/>
      <c r="K22" s="31">
        <f>D33</f>
        <v>-126155329</v>
      </c>
      <c r="O22" s="254" t="s">
        <v>304</v>
      </c>
      <c r="P22" s="255"/>
      <c r="Q22" s="143">
        <v>247118914</v>
      </c>
      <c r="R22" s="158"/>
    </row>
    <row r="23" spans="2:18" ht="15.75" customHeight="1" thickTop="1" thickBot="1" x14ac:dyDescent="0.25">
      <c r="B23" s="164">
        <f>COA!B29</f>
        <v>5020</v>
      </c>
      <c r="C23" s="191" t="str">
        <f t="array" ref="C23">IFERROR(INDEX(Nama_Akun,MATCH(B23,KODEAKUN,0)),"")</f>
        <v>Hpp upper</v>
      </c>
      <c r="D23" s="165">
        <f>IF(I26="Kredit",H26-G26,G26-H26)</f>
        <v>0</v>
      </c>
      <c r="E23" s="169"/>
      <c r="F23" s="31"/>
      <c r="G23" s="65"/>
      <c r="H23" s="65"/>
      <c r="I23" s="63"/>
      <c r="J23" s="7"/>
      <c r="K23" s="31">
        <f>D34</f>
        <v>0</v>
      </c>
      <c r="O23" s="131" t="s">
        <v>141</v>
      </c>
      <c r="P23" s="132" t="s">
        <v>142</v>
      </c>
      <c r="Q23" s="133"/>
      <c r="R23" s="134"/>
    </row>
    <row r="24" spans="2:18" ht="15.75" customHeight="1" thickBot="1" x14ac:dyDescent="0.25">
      <c r="B24" s="164">
        <f>COA!B30</f>
        <v>5030</v>
      </c>
      <c r="C24" s="191" t="str">
        <f t="array" ref="C24">IFERROR(INDEX(Nama_Akun,MATCH(B24,KODEAKUN,0)),"")</f>
        <v>Hpp reguler</v>
      </c>
      <c r="D24" s="165" t="e">
        <f t="shared" ref="D24:D30" si="1">IF(I27="Kredit",H27-G27,G27-H27)</f>
        <v>#REF!</v>
      </c>
      <c r="E24" s="169"/>
      <c r="F24" s="31"/>
      <c r="G24" s="65"/>
      <c r="H24" s="65"/>
      <c r="I24" s="63"/>
      <c r="J24" s="7"/>
      <c r="K24" s="31" t="e">
        <f>#REF!</f>
        <v>#REF!</v>
      </c>
      <c r="O24" s="135" t="s">
        <v>143</v>
      </c>
      <c r="P24" s="136" t="s">
        <v>144</v>
      </c>
      <c r="Q24" s="137">
        <v>15100000</v>
      </c>
      <c r="R24" s="138">
        <v>0.19389999999999999</v>
      </c>
    </row>
    <row r="25" spans="2:18" ht="15.75" customHeight="1" thickBot="1" x14ac:dyDescent="0.25">
      <c r="B25" s="197">
        <f>COA!B31</f>
        <v>5040</v>
      </c>
      <c r="C25" s="191" t="str">
        <f t="array" ref="C25">IFERROR(INDEX(Nama_Akun,MATCH(B25,KODEAKUN,0)),"")</f>
        <v>Hpp Vibram</v>
      </c>
      <c r="D25" s="165" t="e">
        <f t="shared" si="1"/>
        <v>#REF!</v>
      </c>
      <c r="E25" s="168"/>
      <c r="F25" s="31"/>
      <c r="G25" s="65"/>
      <c r="H25" s="65"/>
      <c r="I25" s="63"/>
      <c r="J25" s="7" t="s">
        <v>41</v>
      </c>
      <c r="K25" s="31" t="e">
        <f>#REF!</f>
        <v>#REF!</v>
      </c>
      <c r="O25" s="135" t="s">
        <v>145</v>
      </c>
      <c r="P25" s="136" t="s">
        <v>305</v>
      </c>
      <c r="Q25" s="137">
        <v>10680000</v>
      </c>
      <c r="R25" s="138">
        <v>0.13719999999999999</v>
      </c>
    </row>
    <row r="26" spans="2:18" ht="15.75" customHeight="1" thickBot="1" x14ac:dyDescent="0.25">
      <c r="B26" s="197">
        <f>COA!B32</f>
        <v>5050</v>
      </c>
      <c r="C26" s="191" t="str">
        <f t="array" ref="C26">IFERROR(INDEX(Nama_Akun,MATCH(B26,KODEAKUN,0)),"")</f>
        <v>Hpp repaint</v>
      </c>
      <c r="D26" s="165" t="e">
        <f t="shared" si="1"/>
        <v>#REF!</v>
      </c>
      <c r="E26" s="168"/>
      <c r="F26" s="31"/>
      <c r="G26" s="65"/>
      <c r="H26" s="65"/>
      <c r="I26" s="63"/>
      <c r="J26" s="7" t="s">
        <v>41</v>
      </c>
      <c r="K26" s="31" t="e">
        <f>#REF!</f>
        <v>#REF!</v>
      </c>
      <c r="O26" s="135" t="s">
        <v>146</v>
      </c>
      <c r="P26" s="136" t="s">
        <v>306</v>
      </c>
      <c r="Q26" s="137">
        <v>23677000</v>
      </c>
      <c r="R26" s="138">
        <v>0.30409999999999998</v>
      </c>
    </row>
    <row r="27" spans="2:18" ht="15.75" customHeight="1" thickBot="1" x14ac:dyDescent="0.25">
      <c r="B27" s="197">
        <f>COA!B33</f>
        <v>5060</v>
      </c>
      <c r="C27" s="191" t="str">
        <f t="array" ref="C27">IFERROR(INDEX(Nama_Akun,MATCH(B27,KODEAKUN,0)),"")</f>
        <v>Hpp general</v>
      </c>
      <c r="D27" s="165" t="e">
        <f t="shared" si="1"/>
        <v>#REF!</v>
      </c>
      <c r="E27" s="168"/>
      <c r="F27" s="31"/>
      <c r="G27" s="65" t="e">
        <f t="array" ref="G27">INDEX(NRCLDB,MATCH(#REF!,NRCLKODE,0))</f>
        <v>#REF!</v>
      </c>
      <c r="H27" s="65" t="e">
        <f t="array" ref="H27">INDEX(NRCLKR,MATCH(#REF!,NRCLKODE,0))</f>
        <v>#REF!</v>
      </c>
      <c r="I27" s="63" t="e">
        <f t="array" ref="I27">INDEX(NRCLSN,MATCH(#REF!,NRCLKODE,0))</f>
        <v>#REF!</v>
      </c>
      <c r="J27" s="7" t="s">
        <v>41</v>
      </c>
      <c r="K27" s="31" t="e">
        <f>#REF!</f>
        <v>#REF!</v>
      </c>
      <c r="O27" s="135" t="s">
        <v>147</v>
      </c>
      <c r="P27" s="136" t="s">
        <v>307</v>
      </c>
      <c r="Q27" s="137">
        <v>3320000</v>
      </c>
      <c r="R27" s="138">
        <v>4.2599999999999999E-2</v>
      </c>
    </row>
    <row r="28" spans="2:18" ht="15.75" customHeight="1" thickBot="1" x14ac:dyDescent="0.25">
      <c r="B28" s="197">
        <f>COA!B34</f>
        <v>5070</v>
      </c>
      <c r="C28" s="191" t="str">
        <f t="array" ref="C28">IFERROR(INDEX(Nama_Akun,MATCH(B28,KODEAKUN,0)),"")</f>
        <v>Hpp Aksesoris</v>
      </c>
      <c r="D28" s="165" t="e">
        <f t="shared" si="1"/>
        <v>#REF!</v>
      </c>
      <c r="E28" s="168"/>
      <c r="F28" s="31"/>
      <c r="G28" s="65" t="e">
        <f t="array" ref="G28">INDEX(NRCLDB,MATCH(#REF!,NRCLKODE,0))</f>
        <v>#REF!</v>
      </c>
      <c r="H28" s="65" t="e">
        <f t="array" ref="H28">INDEX(NRCLKR,MATCH(#REF!,NRCLKODE,0))</f>
        <v>#REF!</v>
      </c>
      <c r="I28" s="63" t="e">
        <f t="array" ref="I28">INDEX(NRCLSN,MATCH(#REF!,NRCLKODE,0))</f>
        <v>#REF!</v>
      </c>
      <c r="J28" s="7" t="s">
        <v>41</v>
      </c>
      <c r="K28" s="31" t="e">
        <f>#REF!</f>
        <v>#REF!</v>
      </c>
      <c r="O28" s="135" t="s">
        <v>308</v>
      </c>
      <c r="P28" s="136" t="s">
        <v>309</v>
      </c>
      <c r="Q28" s="137">
        <v>7811167</v>
      </c>
      <c r="R28" s="138">
        <v>0.1003</v>
      </c>
    </row>
    <row r="29" spans="2:18" ht="15.75" customHeight="1" thickBot="1" x14ac:dyDescent="0.25">
      <c r="B29" s="197">
        <f>COA!B42</f>
        <v>5108</v>
      </c>
      <c r="C29" s="191" t="str">
        <f t="array" ref="C29">IFERROR(INDEX(Nama_Akun,MATCH(B29,KODEAKUN,0)),"")</f>
        <v>Beban gaji tukang</v>
      </c>
      <c r="D29" s="165" t="e">
        <f t="shared" si="1"/>
        <v>#REF!</v>
      </c>
      <c r="E29" s="168"/>
      <c r="F29" s="31"/>
      <c r="G29" s="65" t="e">
        <f t="array" ref="G29">INDEX(NRCLDB,MATCH(#REF!,NRCLKODE,0))</f>
        <v>#REF!</v>
      </c>
      <c r="H29" s="65" t="e">
        <f t="array" ref="H29">INDEX(NRCLKR,MATCH(#REF!,NRCLKODE,0))</f>
        <v>#REF!</v>
      </c>
      <c r="I29" s="63" t="e">
        <f t="array" ref="I29">INDEX(NRCLSN,MATCH(#REF!,NRCLKODE,0))</f>
        <v>#REF!</v>
      </c>
      <c r="J29" s="7" t="s">
        <v>41</v>
      </c>
      <c r="K29" s="31" t="e">
        <f>#REF!</f>
        <v>#REF!</v>
      </c>
      <c r="O29" s="135" t="s">
        <v>310</v>
      </c>
      <c r="P29" s="136" t="s">
        <v>311</v>
      </c>
      <c r="Q29" s="137">
        <v>6890000</v>
      </c>
      <c r="R29" s="138">
        <v>8.8499999999999995E-2</v>
      </c>
    </row>
    <row r="30" spans="2:18" ht="15.75" customHeight="1" thickBot="1" x14ac:dyDescent="0.25">
      <c r="B30" s="197">
        <f>COA!B44</f>
        <v>5120</v>
      </c>
      <c r="C30" s="191" t="str">
        <f t="array" ref="C30">IFERROR(INDEX(Nama_Akun,MATCH(B30,KODEAKUN,0)),"")</f>
        <v>Bonus tukang</v>
      </c>
      <c r="D30" s="165" t="e">
        <f t="shared" si="1"/>
        <v>#REF!</v>
      </c>
      <c r="E30" s="168"/>
      <c r="F30" s="31"/>
      <c r="G30" s="65" t="e">
        <f t="array" ref="G30">INDEX(NRCLDB,MATCH(#REF!,NRCLKODE,0))</f>
        <v>#REF!</v>
      </c>
      <c r="H30" s="65" t="e">
        <f t="array" ref="H30">INDEX(NRCLKR,MATCH(#REF!,NRCLKODE,0))</f>
        <v>#REF!</v>
      </c>
      <c r="I30" s="63" t="e">
        <f t="array" ref="I30">INDEX(NRCLSN,MATCH(#REF!,NRCLKODE,0))</f>
        <v>#REF!</v>
      </c>
      <c r="J30" s="7" t="s">
        <v>41</v>
      </c>
      <c r="K30" s="31" t="e">
        <f>#REF!</f>
        <v>#REF!</v>
      </c>
      <c r="O30" s="135" t="s">
        <v>312</v>
      </c>
      <c r="P30" s="136" t="s">
        <v>313</v>
      </c>
      <c r="Q30" s="137">
        <v>8538000</v>
      </c>
      <c r="R30" s="138">
        <v>0.1096</v>
      </c>
    </row>
    <row r="31" spans="2:18" ht="15.75" customHeight="1" thickBot="1" x14ac:dyDescent="0.25">
      <c r="B31" s="196"/>
      <c r="C31" s="196"/>
      <c r="D31" s="196"/>
      <c r="E31" s="168"/>
      <c r="F31" s="31"/>
      <c r="G31" s="65" t="e">
        <f t="array" ref="G31">INDEX(NRCLDB,MATCH(#REF!,NRCLKODE,0))</f>
        <v>#REF!</v>
      </c>
      <c r="H31" s="65" t="e">
        <f t="array" ref="H31">INDEX(NRCLKR,MATCH(#REF!,NRCLKODE,0))</f>
        <v>#REF!</v>
      </c>
      <c r="I31" s="63" t="e">
        <f t="array" ref="I31">INDEX(NRCLSN,MATCH(#REF!,NRCLKODE,0))</f>
        <v>#REF!</v>
      </c>
      <c r="J31" s="7" t="s">
        <v>41</v>
      </c>
      <c r="K31" s="31" t="e">
        <f>#REF!</f>
        <v>#REF!</v>
      </c>
      <c r="O31" s="135" t="s">
        <v>148</v>
      </c>
      <c r="P31" s="136" t="s">
        <v>149</v>
      </c>
      <c r="Q31" s="137">
        <v>1850000</v>
      </c>
      <c r="R31" s="138">
        <v>2.3800000000000002E-2</v>
      </c>
    </row>
    <row r="32" spans="2:18" ht="15.75" customHeight="1" thickBot="1" x14ac:dyDescent="0.25">
      <c r="B32" s="192" t="s">
        <v>329</v>
      </c>
      <c r="C32" s="193"/>
      <c r="D32" s="194" t="e">
        <f>SUM(D22:D24)</f>
        <v>#REF!</v>
      </c>
      <c r="E32" s="186"/>
      <c r="F32" s="31"/>
      <c r="G32" s="65" t="e">
        <f t="array" ref="G32">INDEX(NRCLDB,MATCH(#REF!,NRCLKODE,0))</f>
        <v>#REF!</v>
      </c>
      <c r="H32" s="65" t="e">
        <f t="array" ref="H32">INDEX(NRCLKR,MATCH(#REF!,NRCLKODE,0))</f>
        <v>#REF!</v>
      </c>
      <c r="I32" s="63" t="e">
        <f t="array" ref="I32">INDEX(NRCLSN,MATCH(#REF!,NRCLKODE,0))</f>
        <v>#REF!</v>
      </c>
      <c r="J32" s="7" t="s">
        <v>42</v>
      </c>
      <c r="K32" s="31" t="e">
        <f>#REF!</f>
        <v>#REF!</v>
      </c>
      <c r="O32" s="131" t="s">
        <v>150</v>
      </c>
      <c r="P32" s="132" t="s">
        <v>151</v>
      </c>
      <c r="Q32" s="133"/>
      <c r="R32" s="134"/>
    </row>
    <row r="33" spans="2:18" ht="16.5" customHeight="1" thickBot="1" x14ac:dyDescent="0.25">
      <c r="B33" s="192" t="s">
        <v>89</v>
      </c>
      <c r="C33" s="193"/>
      <c r="D33" s="194">
        <f>SUM(D13-D19)</f>
        <v>-126155329</v>
      </c>
      <c r="E33" s="186"/>
      <c r="F33" s="31"/>
      <c r="G33" s="65" t="e">
        <f t="array" ref="G33">INDEX(NRCLDB,MATCH(#REF!,NRCLKODE,0))</f>
        <v>#REF!</v>
      </c>
      <c r="H33" s="65" t="e">
        <f t="array" ref="H33">INDEX(NRCLKR,MATCH(#REF!,NRCLKODE,0))</f>
        <v>#REF!</v>
      </c>
      <c r="I33" s="63" t="e">
        <f t="array" ref="I33">INDEX(NRCLSN,MATCH(#REF!,NRCLKODE,0))</f>
        <v>#REF!</v>
      </c>
      <c r="J33" s="7"/>
      <c r="K33" s="31" t="e">
        <f>#REF!</f>
        <v>#REF!</v>
      </c>
      <c r="O33" s="135" t="s">
        <v>152</v>
      </c>
      <c r="P33" s="136" t="s">
        <v>154</v>
      </c>
      <c r="Q33" s="159"/>
      <c r="R33" s="160"/>
    </row>
    <row r="34" spans="2:18" ht="16.5" customHeight="1" thickBot="1" x14ac:dyDescent="0.25">
      <c r="B34" s="164"/>
      <c r="C34" s="164"/>
      <c r="D34" s="165"/>
      <c r="E34" s="168"/>
      <c r="G34" s="65" t="e">
        <f t="array" ref="G34">INDEX(NRCLDB,MATCH(#REF!,NRCLKODE,0))</f>
        <v>#REF!</v>
      </c>
      <c r="H34" s="65" t="e">
        <f t="array" ref="H34">INDEX(NRCLKR,MATCH(#REF!,NRCLKODE,0))</f>
        <v>#REF!</v>
      </c>
      <c r="I34" s="63" t="e">
        <f t="array" ref="I34">INDEX(NRCLSN,MATCH(#REF!,NRCLKODE,0))</f>
        <v>#REF!</v>
      </c>
      <c r="J34" s="7"/>
      <c r="K34" s="31">
        <f>D87</f>
        <v>0</v>
      </c>
      <c r="O34" s="135" t="s">
        <v>153</v>
      </c>
      <c r="P34" s="136" t="s">
        <v>155</v>
      </c>
      <c r="Q34" s="137">
        <v>678000</v>
      </c>
      <c r="R34" s="138">
        <v>1</v>
      </c>
    </row>
    <row r="35" spans="2:18" ht="15.75" customHeight="1" thickBot="1" x14ac:dyDescent="0.25">
      <c r="B35" s="170"/>
      <c r="C35" s="171" t="s">
        <v>142</v>
      </c>
      <c r="D35" s="172"/>
      <c r="E35" s="172"/>
      <c r="G35" s="65"/>
      <c r="I35" s="55"/>
      <c r="J35" s="7"/>
      <c r="K35" s="31" t="e">
        <f>#REF!</f>
        <v>#REF!</v>
      </c>
      <c r="O35" s="131" t="s">
        <v>156</v>
      </c>
      <c r="P35" s="161" t="s">
        <v>157</v>
      </c>
      <c r="Q35" s="133"/>
      <c r="R35" s="134"/>
    </row>
    <row r="36" spans="2:18" ht="15.75" customHeight="1" thickBot="1" x14ac:dyDescent="0.25">
      <c r="B36" s="173">
        <f>COA!B36</f>
        <v>5102</v>
      </c>
      <c r="C36" s="191" t="str">
        <f t="array" ref="C36">IFERROR(INDEX(Nama_Akun,MATCH(B36,KODEAKUN,0)),"")</f>
        <v>Beban Gaji Workshop</v>
      </c>
      <c r="D36" s="174"/>
      <c r="E36" s="175">
        <v>0.19389999999999999</v>
      </c>
      <c r="G36" s="54"/>
      <c r="I36" s="55"/>
      <c r="J36" s="7"/>
      <c r="K36" s="31">
        <f>D95</f>
        <v>-126155329</v>
      </c>
      <c r="O36" s="135" t="s">
        <v>158</v>
      </c>
      <c r="P36" s="136" t="s">
        <v>159</v>
      </c>
      <c r="Q36" s="137">
        <v>447210</v>
      </c>
      <c r="R36" s="138">
        <v>0.15160000000000001</v>
      </c>
    </row>
    <row r="37" spans="2:18" ht="15.75" customHeight="1" thickBot="1" x14ac:dyDescent="0.25">
      <c r="B37" s="173">
        <f>COA!B37</f>
        <v>5103</v>
      </c>
      <c r="C37" s="191" t="str">
        <f t="array" ref="C37">IFERROR(INDEX(Nama_Akun,MATCH(B37,KODEAKUN,0)),"")</f>
        <v>Beban Gaji CS</v>
      </c>
      <c r="D37" s="174"/>
      <c r="E37" s="175">
        <v>0.13719999999999999</v>
      </c>
      <c r="G37" s="54"/>
      <c r="I37" s="55"/>
      <c r="J37" s="7"/>
      <c r="K37" s="31" t="e">
        <f>#REF!</f>
        <v>#REF!</v>
      </c>
      <c r="O37" s="135" t="s">
        <v>160</v>
      </c>
      <c r="P37" s="136" t="s">
        <v>161</v>
      </c>
      <c r="Q37" s="137">
        <v>2322845</v>
      </c>
      <c r="R37" s="138">
        <v>0.78749999999999998</v>
      </c>
    </row>
    <row r="38" spans="2:18" ht="15.75" customHeight="1" thickBot="1" x14ac:dyDescent="0.25">
      <c r="B38" s="173">
        <f>COA!B38</f>
        <v>5104</v>
      </c>
      <c r="C38" s="191" t="str">
        <f t="array" ref="C38">IFERROR(INDEX(Nama_Akun,MATCH(B38,KODEAKUN,0)),"")</f>
        <v>Beban Gaji Finance</v>
      </c>
      <c r="D38" s="174"/>
      <c r="E38" s="175">
        <v>0.30409999999999998</v>
      </c>
      <c r="G38" s="54"/>
      <c r="I38" s="55"/>
      <c r="J38" s="7"/>
      <c r="K38" s="31">
        <f>D50</f>
        <v>0</v>
      </c>
      <c r="O38" s="131" t="s">
        <v>162</v>
      </c>
      <c r="P38" s="161" t="s">
        <v>314</v>
      </c>
      <c r="Q38" s="133"/>
      <c r="R38" s="134"/>
    </row>
    <row r="39" spans="2:18" ht="15.75" customHeight="1" thickBot="1" x14ac:dyDescent="0.25">
      <c r="B39" s="173">
        <f>COA!B39</f>
        <v>5105</v>
      </c>
      <c r="C39" s="191" t="str">
        <f t="array" ref="C39">IFERROR(INDEX(Nama_Akun,MATCH(B39,KODEAKUN,0)),"")</f>
        <v>Beban Gaji CC</v>
      </c>
      <c r="D39" s="174"/>
      <c r="E39" s="175">
        <v>4.2599999999999999E-2</v>
      </c>
      <c r="G39" s="54"/>
      <c r="I39" s="55"/>
      <c r="J39" s="7"/>
      <c r="O39" s="135" t="s">
        <v>163</v>
      </c>
      <c r="P39" s="136" t="s">
        <v>255</v>
      </c>
      <c r="Q39" s="137">
        <v>150000</v>
      </c>
      <c r="R39" s="138">
        <v>1.0699999999999999E-2</v>
      </c>
    </row>
    <row r="40" spans="2:18" ht="15.75" customHeight="1" thickBot="1" x14ac:dyDescent="0.25">
      <c r="B40" s="173">
        <f>COA!B40</f>
        <v>5106</v>
      </c>
      <c r="C40" s="191" t="str">
        <f t="array" ref="C40">IFERROR(INDEX(Nama_Akun,MATCH(B40,KODEAKUN,0)),"")</f>
        <v>Beban Gaji Data analisis</v>
      </c>
      <c r="D40" s="174"/>
      <c r="E40" s="175">
        <v>0.1003</v>
      </c>
      <c r="G40" s="54"/>
      <c r="I40" s="55"/>
      <c r="J40" s="7"/>
      <c r="O40" s="135" t="s">
        <v>164</v>
      </c>
      <c r="P40" s="136" t="s">
        <v>256</v>
      </c>
      <c r="Q40" s="137">
        <v>11735000</v>
      </c>
      <c r="R40" s="138">
        <v>0.83789999999999998</v>
      </c>
    </row>
    <row r="41" spans="2:18" ht="15.75" customHeight="1" thickBot="1" x14ac:dyDescent="0.25">
      <c r="B41" s="173">
        <f>COA!B40</f>
        <v>5106</v>
      </c>
      <c r="C41" s="191" t="str">
        <f t="array" ref="C41">IFERROR(INDEX(Nama_Akun,MATCH(B41,KODEAKUN,0)),"")</f>
        <v>Beban Gaji Data analisis</v>
      </c>
      <c r="D41" s="174"/>
      <c r="E41" s="175">
        <v>8.8499999999999995E-2</v>
      </c>
      <c r="G41" s="54"/>
      <c r="I41" s="55"/>
      <c r="J41" s="7"/>
      <c r="O41" s="135" t="s">
        <v>165</v>
      </c>
      <c r="P41" s="136" t="s">
        <v>257</v>
      </c>
      <c r="Q41" s="137">
        <v>343000</v>
      </c>
      <c r="R41" s="138">
        <v>2.4500000000000001E-2</v>
      </c>
    </row>
    <row r="42" spans="2:18" ht="15.75" customHeight="1" thickBot="1" x14ac:dyDescent="0.25">
      <c r="B42" s="173">
        <f>COA!B41</f>
        <v>5107</v>
      </c>
      <c r="C42" s="191" t="str">
        <f t="array" ref="C42">IFERROR(INDEX(Nama_Akun,MATCH(B42,KODEAKUN,0)),"")</f>
        <v>Beban Gaji Gudang</v>
      </c>
      <c r="D42" s="174"/>
      <c r="E42" s="175">
        <v>0.1096</v>
      </c>
      <c r="G42" s="54"/>
      <c r="I42" s="55"/>
      <c r="J42" s="7"/>
      <c r="O42" s="135" t="s">
        <v>166</v>
      </c>
      <c r="P42" s="136" t="s">
        <v>258</v>
      </c>
      <c r="Q42" s="137">
        <v>1778001</v>
      </c>
      <c r="R42" s="138">
        <v>0.12690000000000001</v>
      </c>
    </row>
    <row r="43" spans="2:18" ht="15.75" customHeight="1" thickBot="1" x14ac:dyDescent="0.25">
      <c r="B43" s="173">
        <f>COA!B43</f>
        <v>5110</v>
      </c>
      <c r="C43" s="191" t="str">
        <f t="array" ref="C43">IFERROR(INDEX(Nama_Akun,MATCH(B43,KODEAKUN,0)),"")</f>
        <v>Bonus CS</v>
      </c>
      <c r="D43" s="174"/>
      <c r="E43" s="175">
        <v>2.3800000000000002E-2</v>
      </c>
      <c r="G43" s="54"/>
      <c r="I43" s="55"/>
      <c r="J43" s="7"/>
      <c r="O43" s="131" t="s">
        <v>162</v>
      </c>
      <c r="P43" s="161" t="s">
        <v>167</v>
      </c>
      <c r="Q43" s="133"/>
      <c r="R43" s="134"/>
    </row>
    <row r="44" spans="2:18" s="129" customFormat="1" ht="15.75" customHeight="1" thickBot="1" x14ac:dyDescent="0.25">
      <c r="B44" s="173">
        <f>COA!B45</f>
        <v>5130</v>
      </c>
      <c r="C44" s="191" t="str">
        <f t="array" ref="C44">IFERROR(INDEX(Nama_Akun,MATCH(B44,KODEAKUN,0)),"")</f>
        <v>Bonus kehadiran</v>
      </c>
      <c r="D44" s="174"/>
      <c r="E44" s="175"/>
      <c r="G44" s="181"/>
      <c r="I44" s="182"/>
      <c r="J44" s="7"/>
      <c r="O44" s="131"/>
      <c r="P44" s="161"/>
      <c r="Q44" s="133"/>
      <c r="R44" s="134"/>
    </row>
    <row r="45" spans="2:18" ht="15.75" customHeight="1" thickBot="1" x14ac:dyDescent="0.25">
      <c r="B45" s="170"/>
      <c r="C45" s="171" t="s">
        <v>151</v>
      </c>
      <c r="D45" s="172"/>
      <c r="E45" s="172"/>
      <c r="G45" s="54"/>
      <c r="I45" s="55"/>
      <c r="J45" s="7"/>
      <c r="O45" s="135" t="s">
        <v>168</v>
      </c>
      <c r="P45" s="136" t="s">
        <v>169</v>
      </c>
      <c r="Q45" s="137">
        <v>55000000</v>
      </c>
      <c r="R45" s="138">
        <v>0.85919999999999996</v>
      </c>
    </row>
    <row r="46" spans="2:18" ht="15.75" customHeight="1" thickBot="1" x14ac:dyDescent="0.25">
      <c r="B46" s="173" t="s">
        <v>152</v>
      </c>
      <c r="C46" s="191" t="str">
        <f t="array" ref="C46">IFERROR(INDEX(Nama_Akun,MATCH(B46,KODEAKUN,0)),"")</f>
        <v/>
      </c>
      <c r="D46" s="176"/>
      <c r="E46" s="176"/>
      <c r="G46" s="54"/>
      <c r="I46" s="55"/>
      <c r="J46" s="7"/>
      <c r="O46" s="135" t="s">
        <v>170</v>
      </c>
      <c r="P46" s="136" t="s">
        <v>171</v>
      </c>
      <c r="Q46" s="137">
        <v>10516498</v>
      </c>
      <c r="R46" s="138">
        <v>0.1643</v>
      </c>
    </row>
    <row r="47" spans="2:18" ht="15.75" customHeight="1" thickBot="1" x14ac:dyDescent="0.25">
      <c r="B47" s="173">
        <f>NRL!B51</f>
        <v>5200</v>
      </c>
      <c r="C47" s="191" t="str">
        <f t="array" ref="C47">IFERROR(INDEX(Nama_Akun,MATCH(B47,KODEAKUN,0)),"")</f>
        <v xml:space="preserve">Konsumsi lembur &amp; Meeting </v>
      </c>
      <c r="D47" s="174"/>
      <c r="E47" s="175">
        <v>1</v>
      </c>
      <c r="G47" s="54"/>
      <c r="I47" s="55"/>
      <c r="J47" s="7"/>
      <c r="O47" s="131" t="s">
        <v>172</v>
      </c>
      <c r="P47" s="161" t="s">
        <v>173</v>
      </c>
      <c r="Q47" s="133"/>
      <c r="R47" s="134"/>
    </row>
    <row r="48" spans="2:18" ht="15.75" customHeight="1" thickBot="1" x14ac:dyDescent="0.25">
      <c r="B48" s="170"/>
      <c r="C48" s="177" t="s">
        <v>157</v>
      </c>
      <c r="D48" s="172"/>
      <c r="E48" s="172"/>
      <c r="G48" s="54"/>
      <c r="I48" s="55"/>
      <c r="J48" s="7"/>
      <c r="O48" s="135" t="s">
        <v>174</v>
      </c>
      <c r="P48" s="136" t="s">
        <v>175</v>
      </c>
      <c r="Q48" s="137">
        <v>503250</v>
      </c>
      <c r="R48" s="138">
        <v>0.13669999999999999</v>
      </c>
    </row>
    <row r="49" spans="2:18" ht="15.75" customHeight="1" thickBot="1" x14ac:dyDescent="0.25">
      <c r="B49" s="173">
        <f>NRL!B49</f>
        <v>5300</v>
      </c>
      <c r="C49" s="191" t="str">
        <f t="array" ref="C49">IFERROR(INDEX(Nama_Akun,MATCH(B49,KODEAKUN,0)),"")</f>
        <v>Biaya packaging</v>
      </c>
      <c r="D49" s="174"/>
      <c r="E49" s="175">
        <v>0.15160000000000001</v>
      </c>
      <c r="G49" s="54"/>
      <c r="I49" s="55"/>
      <c r="J49" s="7"/>
      <c r="O49" s="135" t="s">
        <v>176</v>
      </c>
      <c r="P49" s="136" t="s">
        <v>177</v>
      </c>
      <c r="Q49" s="137">
        <v>1710000</v>
      </c>
      <c r="R49" s="138">
        <v>0.46460000000000001</v>
      </c>
    </row>
    <row r="50" spans="2:18" ht="15.75" customHeight="1" thickBot="1" x14ac:dyDescent="0.25">
      <c r="B50" s="173">
        <f>NRL!B50</f>
        <v>5310</v>
      </c>
      <c r="C50" s="191" t="str">
        <f t="array" ref="C50">IFERROR(INDEX(Nama_Akun,MATCH(B50,KODEAKUN,0)),"")</f>
        <v>Biaya ekspedisi &amp; ongkir</v>
      </c>
      <c r="D50" s="174"/>
      <c r="E50" s="175">
        <v>0.78749999999999998</v>
      </c>
      <c r="G50" s="54"/>
      <c r="I50" s="55"/>
      <c r="J50" s="7"/>
      <c r="O50" s="135" t="s">
        <v>178</v>
      </c>
      <c r="P50" s="136" t="s">
        <v>315</v>
      </c>
      <c r="Q50" s="137">
        <v>504000</v>
      </c>
      <c r="R50" s="138">
        <v>0.13689999999999999</v>
      </c>
    </row>
    <row r="51" spans="2:18" ht="15.75" customHeight="1" thickBot="1" x14ac:dyDescent="0.25">
      <c r="B51" s="170"/>
      <c r="C51" s="177" t="s">
        <v>314</v>
      </c>
      <c r="D51" s="172"/>
      <c r="E51" s="172"/>
      <c r="G51" s="54"/>
      <c r="I51" s="55"/>
      <c r="J51" s="7"/>
      <c r="O51" s="135" t="s">
        <v>179</v>
      </c>
      <c r="P51" s="136" t="s">
        <v>180</v>
      </c>
      <c r="Q51" s="159"/>
      <c r="R51" s="138">
        <v>0</v>
      </c>
    </row>
    <row r="52" spans="2:18" ht="15.75" customHeight="1" thickBot="1" x14ac:dyDescent="0.25">
      <c r="B52" s="173">
        <f>NRL!B52</f>
        <v>5400</v>
      </c>
      <c r="C52" s="191" t="str">
        <f t="array" ref="C52">IFERROR(INDEX(Nama_Akun,MATCH(B52,KODEAKUN,0)),"")</f>
        <v>pancake</v>
      </c>
      <c r="D52" s="174"/>
      <c r="E52" s="175">
        <v>1.0699999999999999E-2</v>
      </c>
      <c r="G52" s="54"/>
      <c r="I52" s="55"/>
      <c r="J52" s="7"/>
      <c r="O52" s="135" t="s">
        <v>181</v>
      </c>
      <c r="P52" s="136" t="s">
        <v>182</v>
      </c>
      <c r="Q52" s="159"/>
      <c r="R52" s="138">
        <v>0</v>
      </c>
    </row>
    <row r="53" spans="2:18" ht="15.75" customHeight="1" thickBot="1" x14ac:dyDescent="0.25">
      <c r="B53" s="173">
        <f>NRL!B53</f>
        <v>5410</v>
      </c>
      <c r="C53" s="191" t="str">
        <f t="array" ref="C53">IFERROR(INDEX(Nama_Akun,MATCH(B53,KODEAKUN,0)),"")</f>
        <v>Sleekflow</v>
      </c>
      <c r="D53" s="174"/>
      <c r="E53" s="175">
        <v>0.83789999999999998</v>
      </c>
      <c r="G53" s="54"/>
      <c r="I53" s="55"/>
      <c r="J53" s="7"/>
      <c r="O53" s="135" t="s">
        <v>183</v>
      </c>
      <c r="P53" s="136" t="s">
        <v>316</v>
      </c>
      <c r="Q53" s="159"/>
      <c r="R53" s="138">
        <v>0</v>
      </c>
    </row>
    <row r="54" spans="2:18" ht="15.75" customHeight="1" thickBot="1" x14ac:dyDescent="0.25">
      <c r="B54" s="173">
        <f>NRL!B54</f>
        <v>5420</v>
      </c>
      <c r="C54" s="191" t="str">
        <f t="array" ref="C54">IFERROR(INDEX(Nama_Akun,MATCH(B54,KODEAKUN,0)),"")</f>
        <v>anty gravity</v>
      </c>
      <c r="D54" s="174"/>
      <c r="E54" s="175">
        <v>2.4500000000000001E-2</v>
      </c>
      <c r="G54" s="54"/>
      <c r="I54" s="55"/>
      <c r="J54" s="7"/>
      <c r="O54" s="135" t="s">
        <v>184</v>
      </c>
      <c r="P54" s="136" t="s">
        <v>185</v>
      </c>
      <c r="Q54" s="137">
        <v>333000</v>
      </c>
      <c r="R54" s="138">
        <v>9.0499999999999997E-2</v>
      </c>
    </row>
    <row r="55" spans="2:18" ht="15.75" customHeight="1" thickBot="1" x14ac:dyDescent="0.25">
      <c r="B55" s="173">
        <f>NRL!B55</f>
        <v>5430</v>
      </c>
      <c r="C55" s="191" t="str">
        <f t="array" ref="C55">IFERROR(INDEX(Nama_Akun,MATCH(B55,KODEAKUN,0)),"")</f>
        <v>server domainesia</v>
      </c>
      <c r="D55" s="174"/>
      <c r="E55" s="175">
        <v>0.12690000000000001</v>
      </c>
      <c r="G55" s="54"/>
      <c r="I55" s="55"/>
      <c r="J55" s="7"/>
      <c r="O55" s="135" t="s">
        <v>186</v>
      </c>
      <c r="P55" s="136" t="s">
        <v>317</v>
      </c>
      <c r="Q55" s="137">
        <v>389500</v>
      </c>
      <c r="R55" s="138">
        <v>0.10580000000000001</v>
      </c>
    </row>
    <row r="56" spans="2:18" ht="15.75" customHeight="1" thickBot="1" x14ac:dyDescent="0.25">
      <c r="B56" s="170"/>
      <c r="C56" s="177" t="s">
        <v>167</v>
      </c>
      <c r="D56" s="172"/>
      <c r="E56" s="172"/>
      <c r="G56" s="54"/>
      <c r="I56" s="55"/>
      <c r="J56" s="7"/>
      <c r="O56" s="135" t="s">
        <v>188</v>
      </c>
      <c r="P56" s="136" t="s">
        <v>187</v>
      </c>
      <c r="Q56" s="137">
        <v>445000</v>
      </c>
      <c r="R56" s="138">
        <v>0.12089999999999999</v>
      </c>
    </row>
    <row r="57" spans="2:18" ht="15.75" customHeight="1" thickBot="1" x14ac:dyDescent="0.25">
      <c r="B57" s="173">
        <f>NRL!B56</f>
        <v>5440</v>
      </c>
      <c r="C57" s="191" t="str">
        <f t="array" ref="C57">IFERROR(INDEX(Nama_Akun,MATCH(B57,KODEAKUN,0)),"")</f>
        <v>ADS</v>
      </c>
      <c r="D57" s="174"/>
      <c r="E57" s="175">
        <v>0.85919999999999996</v>
      </c>
      <c r="G57" s="54"/>
      <c r="I57" s="55"/>
      <c r="J57" s="7"/>
      <c r="O57" s="131" t="s">
        <v>189</v>
      </c>
      <c r="P57" s="161" t="s">
        <v>190</v>
      </c>
      <c r="Q57" s="133"/>
      <c r="R57" s="134"/>
    </row>
    <row r="58" spans="2:18" ht="15.75" customHeight="1" thickBot="1" x14ac:dyDescent="0.25">
      <c r="B58" s="173">
        <f>NRL!B57</f>
        <v>5450</v>
      </c>
      <c r="C58" s="191" t="str">
        <f t="array" ref="C58">IFERROR(INDEX(Nama_Akun,MATCH(B58,KODEAKUN,0)),"")</f>
        <v>WA API</v>
      </c>
      <c r="D58" s="174"/>
      <c r="E58" s="175">
        <v>0.1643</v>
      </c>
      <c r="G58" s="54"/>
      <c r="I58" s="55"/>
      <c r="J58" s="7"/>
      <c r="O58" s="135" t="s">
        <v>191</v>
      </c>
      <c r="P58" s="136" t="s">
        <v>192</v>
      </c>
      <c r="Q58" s="159"/>
      <c r="R58" s="160"/>
    </row>
    <row r="59" spans="2:18" s="129" customFormat="1" ht="15.75" customHeight="1" thickBot="1" x14ac:dyDescent="0.25">
      <c r="B59" s="173">
        <f>NRL!B58</f>
        <v>5460</v>
      </c>
      <c r="C59" s="191" t="str">
        <f t="array" ref="C59">IFERROR(INDEX(Nama_Akun,MATCH(B59,KODEAKUN,0)),"")</f>
        <v>voucher marketing</v>
      </c>
      <c r="D59" s="174"/>
      <c r="E59" s="175"/>
      <c r="G59" s="181"/>
      <c r="I59" s="182"/>
      <c r="J59" s="7"/>
      <c r="O59" s="135"/>
      <c r="P59" s="136"/>
      <c r="Q59" s="159"/>
      <c r="R59" s="160"/>
    </row>
    <row r="60" spans="2:18" ht="15.75" customHeight="1" thickBot="1" x14ac:dyDescent="0.25">
      <c r="B60" s="170"/>
      <c r="C60" s="177" t="s">
        <v>173</v>
      </c>
      <c r="D60" s="172"/>
      <c r="E60" s="172"/>
      <c r="G60" s="54"/>
      <c r="I60" s="55"/>
      <c r="J60" s="7"/>
      <c r="O60" s="135" t="s">
        <v>193</v>
      </c>
      <c r="P60" s="136" t="s">
        <v>194</v>
      </c>
      <c r="Q60" s="137">
        <v>2750000</v>
      </c>
      <c r="R60" s="138">
        <v>1</v>
      </c>
    </row>
    <row r="61" spans="2:18" ht="15.75" customHeight="1" thickBot="1" x14ac:dyDescent="0.25">
      <c r="B61" s="173">
        <f>NRL!B59</f>
        <v>5500</v>
      </c>
      <c r="C61" s="191" t="str">
        <f t="array" ref="C61">IFERROR(INDEX(Nama_Akun,MATCH(B61,KODEAKUN,0)),"")</f>
        <v>Beban Listrik Office</v>
      </c>
      <c r="D61" s="174"/>
      <c r="E61" s="175">
        <v>0.13669999999999999</v>
      </c>
      <c r="G61" s="54"/>
      <c r="I61" s="55"/>
      <c r="J61" s="7"/>
      <c r="O61" s="162" t="s">
        <v>195</v>
      </c>
      <c r="P61" s="161" t="s">
        <v>196</v>
      </c>
      <c r="Q61" s="133"/>
      <c r="R61" s="134"/>
    </row>
    <row r="62" spans="2:18" ht="15.75" customHeight="1" thickBot="1" x14ac:dyDescent="0.25">
      <c r="B62" s="173">
        <f>NRL!B60</f>
        <v>5510</v>
      </c>
      <c r="C62" s="191" t="str">
        <f t="array" ref="C62">IFERROR(INDEX(Nama_Akun,MATCH(B62,KODEAKUN,0)),"")</f>
        <v>Beban Listrik Workshop</v>
      </c>
      <c r="D62" s="174"/>
      <c r="E62" s="175">
        <v>0.46460000000000001</v>
      </c>
      <c r="G62" s="54"/>
      <c r="I62" s="55"/>
      <c r="J62" s="7"/>
      <c r="O62" s="135" t="s">
        <v>197</v>
      </c>
      <c r="P62" s="136" t="s">
        <v>198</v>
      </c>
      <c r="Q62" s="137">
        <v>265000</v>
      </c>
      <c r="R62" s="138">
        <v>4.2900000000000001E-2</v>
      </c>
    </row>
    <row r="63" spans="2:18" ht="15.75" customHeight="1" thickBot="1" x14ac:dyDescent="0.25">
      <c r="B63" s="173">
        <f>NRL!B61</f>
        <v>5520</v>
      </c>
      <c r="C63" s="191" t="str">
        <f t="array" ref="C63">IFERROR(INDEX(Nama_Akun,MATCH(B63,KODEAKUN,0)),"")</f>
        <v>Beban Listrik sortir</v>
      </c>
      <c r="D63" s="174"/>
      <c r="E63" s="175">
        <v>0.13689999999999999</v>
      </c>
      <c r="G63" s="54"/>
      <c r="I63" s="55"/>
      <c r="J63" s="7"/>
      <c r="O63" s="135" t="s">
        <v>199</v>
      </c>
      <c r="P63" s="136" t="s">
        <v>200</v>
      </c>
      <c r="Q63" s="137">
        <v>70000</v>
      </c>
      <c r="R63" s="138">
        <v>1.1299999999999999E-2</v>
      </c>
    </row>
    <row r="64" spans="2:18" ht="15.75" customHeight="1" thickBot="1" x14ac:dyDescent="0.25">
      <c r="B64" s="173">
        <f>NRL!B62</f>
        <v>5530</v>
      </c>
      <c r="C64" s="191" t="str">
        <f t="array" ref="C64">IFERROR(INDEX(Nama_Akun,MATCH(B64,KODEAKUN,0)),"")</f>
        <v>Beban PDAM Office</v>
      </c>
      <c r="D64" s="176"/>
      <c r="E64" s="175">
        <v>0</v>
      </c>
      <c r="G64" s="54"/>
      <c r="I64" s="55"/>
      <c r="J64" s="7"/>
      <c r="O64" s="135" t="s">
        <v>201</v>
      </c>
      <c r="P64" s="136" t="s">
        <v>202</v>
      </c>
      <c r="Q64" s="137">
        <v>250000</v>
      </c>
      <c r="R64" s="138">
        <v>4.0399999999999998E-2</v>
      </c>
    </row>
    <row r="65" spans="2:18" ht="15.75" customHeight="1" thickBot="1" x14ac:dyDescent="0.25">
      <c r="B65" s="173">
        <f>NRL!B63</f>
        <v>5540</v>
      </c>
      <c r="C65" s="191" t="str">
        <f t="array" ref="C65">IFERROR(INDEX(Nama_Akun,MATCH(B65,KODEAKUN,0)),"")</f>
        <v>Beban PDAM Workshop</v>
      </c>
      <c r="D65" s="176"/>
      <c r="E65" s="175">
        <v>0</v>
      </c>
      <c r="G65" s="54"/>
      <c r="I65" s="55"/>
      <c r="J65" s="7"/>
      <c r="O65" s="135" t="s">
        <v>203</v>
      </c>
      <c r="P65" s="136" t="s">
        <v>204</v>
      </c>
      <c r="Q65" s="137">
        <v>598000</v>
      </c>
      <c r="R65" s="138">
        <v>9.6699999999999994E-2</v>
      </c>
    </row>
    <row r="66" spans="2:18" ht="15.75" customHeight="1" thickBot="1" x14ac:dyDescent="0.25">
      <c r="B66" s="173">
        <f>NRL!B64</f>
        <v>5550</v>
      </c>
      <c r="C66" s="191" t="str">
        <f t="array" ref="C66">IFERROR(INDEX(Nama_Akun,MATCH(B66,KODEAKUN,0)),"")</f>
        <v>Beban PDAM sortir</v>
      </c>
      <c r="D66" s="176"/>
      <c r="E66" s="175">
        <v>0</v>
      </c>
      <c r="G66" s="54"/>
      <c r="I66" s="55"/>
      <c r="J66" s="7"/>
      <c r="O66" s="135" t="s">
        <v>205</v>
      </c>
      <c r="P66" s="136" t="s">
        <v>206</v>
      </c>
      <c r="Q66" s="137">
        <v>180000</v>
      </c>
      <c r="R66" s="138">
        <v>2.9100000000000001E-2</v>
      </c>
    </row>
    <row r="67" spans="2:18" ht="15.75" customHeight="1" thickBot="1" x14ac:dyDescent="0.25">
      <c r="B67" s="173">
        <f>NRL!B65</f>
        <v>5560</v>
      </c>
      <c r="C67" s="191" t="str">
        <f t="array" ref="C67">IFERROR(INDEX(Nama_Akun,MATCH(B67,KODEAKUN,0)),"")</f>
        <v>Beban Wifi Office</v>
      </c>
      <c r="D67" s="174"/>
      <c r="E67" s="175">
        <v>9.0499999999999997E-2</v>
      </c>
      <c r="G67" s="54"/>
      <c r="I67" s="55"/>
      <c r="J67" s="7"/>
      <c r="O67" s="135" t="s">
        <v>207</v>
      </c>
      <c r="P67" s="136" t="s">
        <v>318</v>
      </c>
      <c r="Q67" s="137">
        <v>200000</v>
      </c>
      <c r="R67" s="138">
        <v>3.2300000000000002E-2</v>
      </c>
    </row>
    <row r="68" spans="2:18" ht="15.75" customHeight="1" thickBot="1" x14ac:dyDescent="0.25">
      <c r="B68" s="173">
        <f>NRL!B66</f>
        <v>5570</v>
      </c>
      <c r="C68" s="191" t="str">
        <f t="array" ref="C68">IFERROR(INDEX(Nama_Akun,MATCH(B68,KODEAKUN,0)),"")</f>
        <v>Beban Wifi Sortir</v>
      </c>
      <c r="D68" s="174"/>
      <c r="E68" s="175">
        <v>0.10580000000000001</v>
      </c>
      <c r="G68" s="54"/>
      <c r="I68" s="55"/>
      <c r="J68" s="7"/>
      <c r="O68" s="135" t="s">
        <v>208</v>
      </c>
      <c r="P68" s="136" t="s">
        <v>209</v>
      </c>
      <c r="Q68" s="137">
        <v>1000000</v>
      </c>
      <c r="R68" s="138">
        <v>0.16170000000000001</v>
      </c>
    </row>
    <row r="69" spans="2:18" ht="15.75" customHeight="1" thickBot="1" x14ac:dyDescent="0.25">
      <c r="B69" s="173">
        <f>NRL!B67</f>
        <v>5580</v>
      </c>
      <c r="C69" s="191" t="str">
        <f t="array" ref="C69">IFERROR(INDEX(Nama_Akun,MATCH(B69,KODEAKUN,0)),"")</f>
        <v>Beban Wifi Workshop</v>
      </c>
      <c r="D69" s="174"/>
      <c r="E69" s="175">
        <v>0.12089999999999999</v>
      </c>
      <c r="G69" s="54"/>
      <c r="I69" s="55"/>
      <c r="J69" s="7"/>
      <c r="O69" s="135" t="s">
        <v>210</v>
      </c>
      <c r="P69" s="136" t="s">
        <v>211</v>
      </c>
      <c r="Q69" s="137">
        <v>2000000</v>
      </c>
      <c r="R69" s="138">
        <v>0.32350000000000001</v>
      </c>
    </row>
    <row r="70" spans="2:18" ht="15.75" customHeight="1" thickBot="1" x14ac:dyDescent="0.25">
      <c r="B70" s="170"/>
      <c r="C70" s="177" t="s">
        <v>190</v>
      </c>
      <c r="D70" s="172"/>
      <c r="E70" s="172"/>
      <c r="G70" s="54"/>
      <c r="I70" s="55"/>
      <c r="J70" s="7"/>
      <c r="O70" s="135" t="s">
        <v>212</v>
      </c>
      <c r="P70" s="136" t="s">
        <v>271</v>
      </c>
      <c r="Q70" s="137">
        <v>282000</v>
      </c>
      <c r="R70" s="138">
        <v>4.5600000000000002E-2</v>
      </c>
    </row>
    <row r="71" spans="2:18" ht="15.75" customHeight="1" thickBot="1" x14ac:dyDescent="0.25">
      <c r="B71" s="173">
        <f>NRL!B68</f>
        <v>5600</v>
      </c>
      <c r="C71" s="191" t="str">
        <f t="array" ref="C71">IFERROR(INDEX(Nama_Akun,MATCH(B71,KODEAKUN,0)),"")</f>
        <v>Sewa Tempat Office</v>
      </c>
      <c r="D71" s="176"/>
      <c r="E71" s="176"/>
      <c r="G71" s="54"/>
      <c r="I71" s="55"/>
      <c r="J71" s="7"/>
      <c r="O71" s="135" t="s">
        <v>214</v>
      </c>
      <c r="P71" s="136" t="s">
        <v>319</v>
      </c>
      <c r="Q71" s="137">
        <v>325700</v>
      </c>
      <c r="R71" s="138">
        <v>5.2699999999999997E-2</v>
      </c>
    </row>
    <row r="72" spans="2:18" ht="15.75" customHeight="1" thickBot="1" x14ac:dyDescent="0.25">
      <c r="B72" s="173">
        <f>NRL!B69</f>
        <v>5610</v>
      </c>
      <c r="C72" s="64" t="str">
        <f t="array" ref="C72">IFERROR(INDEX(Nama_Akun,MATCH(B72,KODEAKUN,0)),"")</f>
        <v>Sewa Tempat sortir</v>
      </c>
      <c r="D72" s="174"/>
      <c r="E72" s="175">
        <v>1</v>
      </c>
      <c r="G72" s="54"/>
      <c r="I72" s="55"/>
      <c r="J72" s="7"/>
      <c r="O72" s="135" t="s">
        <v>215</v>
      </c>
      <c r="P72" s="136" t="s">
        <v>272</v>
      </c>
      <c r="Q72" s="137">
        <v>132000</v>
      </c>
      <c r="R72" s="138">
        <v>2.1299999999999999E-2</v>
      </c>
    </row>
    <row r="73" spans="2:18" s="129" customFormat="1" ht="15.75" customHeight="1" thickBot="1" x14ac:dyDescent="0.25">
      <c r="B73" s="173">
        <f>NRL!B71</f>
        <v>5630</v>
      </c>
      <c r="C73" s="64" t="str">
        <f t="array" ref="C73">IFERROR(INDEX(Nama_Akun,MATCH(B73,KODEAKUN,0)),"")</f>
        <v>Sewa Tempat Workshop</v>
      </c>
      <c r="D73" s="174"/>
      <c r="E73" s="175"/>
      <c r="G73" s="181"/>
      <c r="I73" s="182"/>
      <c r="J73" s="7"/>
      <c r="O73" s="135"/>
      <c r="P73" s="136"/>
      <c r="Q73" s="137"/>
      <c r="R73" s="138"/>
    </row>
    <row r="74" spans="2:18" ht="15.75" customHeight="1" thickBot="1" x14ac:dyDescent="0.25">
      <c r="B74" s="178"/>
      <c r="C74" s="177" t="s">
        <v>196</v>
      </c>
      <c r="D74" s="172"/>
      <c r="E74" s="172"/>
      <c r="G74" s="54"/>
      <c r="I74" s="55"/>
      <c r="J74" s="7"/>
      <c r="O74" s="135" t="s">
        <v>320</v>
      </c>
      <c r="P74" s="136" t="s">
        <v>321</v>
      </c>
      <c r="Q74" s="137">
        <v>280000</v>
      </c>
      <c r="R74" s="138">
        <v>4.53E-2</v>
      </c>
    </row>
    <row r="75" spans="2:18" ht="15.75" customHeight="1" thickBot="1" x14ac:dyDescent="0.25">
      <c r="B75" s="173">
        <f>NRL!B72</f>
        <v>6000</v>
      </c>
      <c r="C75" s="64" t="str">
        <f t="array" ref="C75">IFERROR(INDEX(Nama_Akun,MATCH(B75,KODEAKUN,0)),"")</f>
        <v>Beban Transport/ Bensin/ Parkir</v>
      </c>
      <c r="D75" s="174"/>
      <c r="E75" s="175">
        <v>4.2900000000000001E-2</v>
      </c>
      <c r="G75" s="54"/>
      <c r="I75" s="55"/>
      <c r="J75" s="7"/>
      <c r="O75" s="135" t="s">
        <v>216</v>
      </c>
      <c r="P75" s="136" t="s">
        <v>273</v>
      </c>
      <c r="Q75" s="137">
        <v>400000</v>
      </c>
      <c r="R75" s="138">
        <v>6.4699999999999994E-2</v>
      </c>
    </row>
    <row r="76" spans="2:18" ht="15.75" customHeight="1" thickBot="1" x14ac:dyDescent="0.25">
      <c r="B76" s="173">
        <f>NRL!B73</f>
        <v>6010</v>
      </c>
      <c r="C76" s="64" t="str">
        <f t="array" ref="C76">IFERROR(INDEX(Nama_Akun,MATCH(B76,KODEAKUN,0)),"")</f>
        <v>Beban Iuran Sampah &amp; Keamanan</v>
      </c>
      <c r="D76" s="174"/>
      <c r="E76" s="175">
        <v>1.1299999999999999E-2</v>
      </c>
      <c r="G76" s="54"/>
      <c r="I76" s="55"/>
      <c r="J76" s="7"/>
      <c r="O76" s="139" t="s">
        <v>322</v>
      </c>
      <c r="P76" s="140" t="s">
        <v>274</v>
      </c>
      <c r="Q76" s="141">
        <v>200000</v>
      </c>
      <c r="R76" s="142">
        <v>3.2300000000000002E-2</v>
      </c>
    </row>
    <row r="77" spans="2:18" ht="15.75" customHeight="1" thickTop="1" thickBot="1" x14ac:dyDescent="0.25">
      <c r="B77" s="173">
        <f>NRL!B74</f>
        <v>6020</v>
      </c>
      <c r="C77" s="64" t="str">
        <f t="array" ref="C77">IFERROR(INDEX(Nama_Akun,MATCH(B77,KODEAKUN,0)),"")</f>
        <v>Beban Iuran RT, RW</v>
      </c>
      <c r="D77" s="174"/>
      <c r="E77" s="175">
        <v>4.0399999999999998E-2</v>
      </c>
      <c r="G77" s="54"/>
      <c r="I77" s="55"/>
      <c r="J77" s="7"/>
      <c r="O77" s="254" t="s">
        <v>323</v>
      </c>
      <c r="P77" s="255"/>
      <c r="Q77" s="143">
        <v>173654171</v>
      </c>
      <c r="R77" s="157">
        <v>0.58379999999999999</v>
      </c>
    </row>
    <row r="78" spans="2:18" ht="15.75" customHeight="1" thickTop="1" thickBot="1" x14ac:dyDescent="0.25">
      <c r="B78" s="173">
        <f>NRL!B75</f>
        <v>6030</v>
      </c>
      <c r="C78" s="64" t="str">
        <f t="array" ref="C78">IFERROR(INDEX(Nama_Akun,MATCH(B78,KODEAKUN,0)),"")</f>
        <v>Beban ATK</v>
      </c>
      <c r="D78" s="174"/>
      <c r="E78" s="175">
        <v>9.6699999999999994E-2</v>
      </c>
      <c r="G78" s="54"/>
      <c r="I78" s="55"/>
      <c r="J78" s="7"/>
      <c r="O78" s="254" t="s">
        <v>324</v>
      </c>
      <c r="P78" s="255"/>
      <c r="Q78" s="143">
        <v>73464743</v>
      </c>
      <c r="R78" s="157">
        <v>0.247</v>
      </c>
    </row>
    <row r="79" spans="2:18" ht="15.75" customHeight="1" thickTop="1" thickBot="1" x14ac:dyDescent="0.25">
      <c r="B79" s="173">
        <f>NRL!B76</f>
        <v>6040</v>
      </c>
      <c r="C79" s="64" t="str">
        <f t="array" ref="C79">IFERROR(INDEX(Nama_Akun,MATCH(B79,KODEAKUN,0)),"")</f>
        <v>Beban Iklan Loker</v>
      </c>
      <c r="D79" s="174"/>
      <c r="E79" s="175">
        <v>2.9100000000000001E-2</v>
      </c>
      <c r="G79" s="54"/>
      <c r="I79" s="55"/>
      <c r="J79" s="7"/>
      <c r="O79" s="162" t="s">
        <v>217</v>
      </c>
      <c r="P79" s="161" t="s">
        <v>218</v>
      </c>
      <c r="Q79" s="133"/>
      <c r="R79" s="134"/>
    </row>
    <row r="80" spans="2:18" ht="15.75" customHeight="1" thickBot="1" x14ac:dyDescent="0.25">
      <c r="B80" s="173">
        <f>NRL!B77</f>
        <v>6050</v>
      </c>
      <c r="C80" s="64" t="str">
        <f t="array" ref="C80">IFERROR(INDEX(Nama_Akun,MATCH(B80,KODEAKUN,0)),"")</f>
        <v>Beban iuran WS</v>
      </c>
      <c r="D80" s="174"/>
      <c r="E80" s="175">
        <v>3.2300000000000002E-2</v>
      </c>
      <c r="G80" s="54"/>
      <c r="I80" s="55"/>
      <c r="J80" s="7"/>
      <c r="O80" s="135" t="s">
        <v>219</v>
      </c>
      <c r="P80" s="136" t="s">
        <v>220</v>
      </c>
      <c r="Q80" s="159"/>
      <c r="R80" s="160"/>
    </row>
    <row r="81" spans="2:18" ht="15.75" customHeight="1" thickBot="1" x14ac:dyDescent="0.25">
      <c r="B81" s="173">
        <f>NRL!B78</f>
        <v>6060</v>
      </c>
      <c r="C81" s="64" t="str">
        <f t="array" ref="C81">IFERROR(INDEX(Nama_Akun,MATCH(B81,KODEAKUN,0)),"")</f>
        <v>Beban Konsultan</v>
      </c>
      <c r="D81" s="174"/>
      <c r="E81" s="175">
        <v>0.16170000000000001</v>
      </c>
      <c r="G81" s="54"/>
      <c r="I81" s="55"/>
      <c r="J81" s="7"/>
      <c r="O81" s="135" t="s">
        <v>221</v>
      </c>
      <c r="P81" s="136" t="s">
        <v>222</v>
      </c>
      <c r="Q81" s="137">
        <v>4597101</v>
      </c>
      <c r="R81" s="138">
        <v>1</v>
      </c>
    </row>
    <row r="82" spans="2:18" ht="15.75" customHeight="1" thickBot="1" x14ac:dyDescent="0.25">
      <c r="B82" s="173">
        <f>NRL!B79</f>
        <v>6070</v>
      </c>
      <c r="C82" s="64" t="str">
        <f t="array" ref="C82">IFERROR(INDEX(Nama_Akun,MATCH(B82,KODEAKUN,0)),"")</f>
        <v>Beban CSR</v>
      </c>
      <c r="D82" s="174"/>
      <c r="E82" s="175">
        <v>0.32350000000000001</v>
      </c>
      <c r="G82" s="54"/>
      <c r="I82" s="55"/>
      <c r="J82" s="7"/>
      <c r="O82" s="162" t="s">
        <v>223</v>
      </c>
      <c r="P82" s="161" t="s">
        <v>224</v>
      </c>
      <c r="Q82" s="133"/>
      <c r="R82" s="134"/>
    </row>
    <row r="83" spans="2:18" ht="15.75" customHeight="1" thickBot="1" x14ac:dyDescent="0.25">
      <c r="B83" s="173">
        <f>NRL!B80</f>
        <v>6080</v>
      </c>
      <c r="C83" s="64" t="str">
        <f t="array" ref="C83">IFERROR(INDEX(Nama_Akun,MATCH(B83,KODEAKUN,0)),"")</f>
        <v>Beban dapur</v>
      </c>
      <c r="D83" s="174"/>
      <c r="E83" s="175">
        <v>4.5600000000000002E-2</v>
      </c>
      <c r="G83" s="54"/>
      <c r="I83" s="55"/>
      <c r="J83" s="7"/>
      <c r="O83" s="135" t="s">
        <v>225</v>
      </c>
      <c r="P83" s="136" t="s">
        <v>226</v>
      </c>
      <c r="Q83" s="137">
        <v>69500</v>
      </c>
      <c r="R83" s="138">
        <v>3.2300000000000002E-2</v>
      </c>
    </row>
    <row r="84" spans="2:18" ht="15.75" customHeight="1" thickBot="1" x14ac:dyDescent="0.25">
      <c r="B84" s="173">
        <f>NRL!B81</f>
        <v>6090</v>
      </c>
      <c r="C84" s="64" t="str">
        <f t="array" ref="C84">IFERROR(INDEX(Nama_Akun,MATCH(B84,KODEAKUN,0)),"")</f>
        <v>Beban pemeliharaan kebersihan</v>
      </c>
      <c r="D84" s="174"/>
      <c r="E84" s="175">
        <v>5.2699999999999997E-2</v>
      </c>
      <c r="G84" s="54"/>
      <c r="I84" s="55"/>
      <c r="J84" s="7"/>
      <c r="O84" s="135" t="s">
        <v>227</v>
      </c>
      <c r="P84" s="136" t="s">
        <v>213</v>
      </c>
      <c r="Q84" s="137">
        <v>1799614</v>
      </c>
      <c r="R84" s="138">
        <v>0.83660000000000001</v>
      </c>
    </row>
    <row r="85" spans="2:18" ht="27.5" customHeight="1" thickBot="1" x14ac:dyDescent="0.25">
      <c r="B85" s="173">
        <f>NRL!B82</f>
        <v>6100</v>
      </c>
      <c r="C85" s="64" t="str">
        <f t="array" ref="C85">IFERROR(INDEX(Nama_Akun,MATCH(B85,KODEAKUN,0)),"")</f>
        <v>beban lainnya</v>
      </c>
      <c r="D85" s="174"/>
      <c r="E85" s="175">
        <v>2.1299999999999999E-2</v>
      </c>
      <c r="G85" s="54"/>
      <c r="I85" s="55"/>
      <c r="J85" s="7"/>
      <c r="O85" s="252" t="s">
        <v>325</v>
      </c>
      <c r="P85" s="253"/>
      <c r="Q85" s="143">
        <v>76192730</v>
      </c>
      <c r="R85" s="157">
        <v>0.25619999999999998</v>
      </c>
    </row>
    <row r="86" spans="2:18" ht="15.75" customHeight="1" thickTop="1" x14ac:dyDescent="0.2">
      <c r="B86" s="173">
        <f>NRL!B85</f>
        <v>6130</v>
      </c>
      <c r="C86" s="64" t="str">
        <f t="array" ref="C86">IFERROR(INDEX(Nama_Akun,MATCH(B86,KODEAKUN,0)),"")</f>
        <v>pemeliharaan perlengkapan</v>
      </c>
      <c r="D86" s="174"/>
      <c r="E86" s="175">
        <v>4.53E-2</v>
      </c>
      <c r="G86" s="54"/>
      <c r="I86" s="55"/>
      <c r="J86" s="7"/>
    </row>
    <row r="87" spans="2:18" ht="15.75" customHeight="1" x14ac:dyDescent="0.2">
      <c r="B87" s="192" t="s">
        <v>90</v>
      </c>
      <c r="C87" s="193"/>
      <c r="D87" s="194">
        <f>SUM(D35:D86)</f>
        <v>0</v>
      </c>
      <c r="E87" s="185"/>
      <c r="G87" s="54"/>
      <c r="I87" s="55"/>
      <c r="J87" s="7"/>
    </row>
    <row r="88" spans="2:18" ht="15.75" customHeight="1" x14ac:dyDescent="0.2">
      <c r="B88" s="243" t="s">
        <v>324</v>
      </c>
      <c r="C88" s="243"/>
      <c r="D88" s="179"/>
      <c r="E88" s="180">
        <v>0.247</v>
      </c>
      <c r="G88" s="54"/>
      <c r="I88" s="55"/>
      <c r="J88" s="7"/>
    </row>
    <row r="89" spans="2:18" ht="15.75" customHeight="1" x14ac:dyDescent="0.2">
      <c r="B89" s="178"/>
      <c r="C89" s="177" t="s">
        <v>218</v>
      </c>
      <c r="D89" s="172"/>
      <c r="E89" s="172"/>
      <c r="G89" s="54"/>
      <c r="I89" s="55"/>
      <c r="J89" s="7"/>
    </row>
    <row r="90" spans="2:18" ht="15.75" customHeight="1" x14ac:dyDescent="0.2">
      <c r="B90" s="173">
        <f>NRL!B86</f>
        <v>7000</v>
      </c>
      <c r="C90" s="64" t="str">
        <f t="array" ref="C90">IFERROR(INDEX(Nama_Akun,MATCH(B90,KODEAKUN,0)),"")</f>
        <v>Pendapatan Bunga Bank</v>
      </c>
      <c r="D90" s="176"/>
      <c r="E90" s="176"/>
      <c r="G90" s="54"/>
      <c r="I90" s="55"/>
      <c r="J90" s="7"/>
    </row>
    <row r="91" spans="2:18" ht="15.75" customHeight="1" x14ac:dyDescent="0.2">
      <c r="B91" s="173">
        <f>NRL!B28</f>
        <v>7010</v>
      </c>
      <c r="C91" s="64" t="str">
        <f t="array" ref="C91">IFERROR(INDEX(Nama_Akun,MATCH(B91,KODEAKUN,0)),"")</f>
        <v>pendapatan lain-lain</v>
      </c>
      <c r="D91" s="174"/>
      <c r="E91" s="175">
        <v>1</v>
      </c>
      <c r="G91" s="54"/>
      <c r="I91" s="55"/>
      <c r="J91" s="7"/>
    </row>
    <row r="92" spans="2:18" ht="15.75" customHeight="1" x14ac:dyDescent="0.2">
      <c r="B92" s="178"/>
      <c r="C92" s="177" t="s">
        <v>224</v>
      </c>
      <c r="D92" s="172"/>
      <c r="E92" s="172"/>
      <c r="G92" s="54"/>
      <c r="I92" s="55"/>
      <c r="J92" s="7"/>
    </row>
    <row r="93" spans="2:18" ht="15.75" customHeight="1" x14ac:dyDescent="0.2">
      <c r="B93" s="173">
        <f>NRL!B87</f>
        <v>8000</v>
      </c>
      <c r="C93" s="64" t="str">
        <f t="array" ref="C93">IFERROR(INDEX(Nama_Akun,MATCH(B93,KODEAKUN,0)),"")</f>
        <v>Biaya Admin Bank</v>
      </c>
      <c r="D93" s="174"/>
      <c r="E93" s="175">
        <v>3.2300000000000002E-2</v>
      </c>
      <c r="G93" s="54"/>
      <c r="I93" s="55"/>
      <c r="J93" s="7"/>
    </row>
    <row r="94" spans="2:18" ht="15.75" customHeight="1" x14ac:dyDescent="0.2">
      <c r="B94" s="173">
        <f>NRL!B88</f>
        <v>8010</v>
      </c>
      <c r="C94" s="64" t="str">
        <f t="array" ref="C94">IFERROR(INDEX(Nama_Akun,MATCH(B94,KODEAKUN,0)),"")</f>
        <v>Pajak</v>
      </c>
      <c r="D94" s="174"/>
      <c r="E94" s="175">
        <v>0.83660000000000001</v>
      </c>
      <c r="G94" s="54"/>
      <c r="I94" s="55"/>
      <c r="J94" s="7"/>
    </row>
    <row r="95" spans="2:18" ht="15.75" customHeight="1" x14ac:dyDescent="0.2">
      <c r="B95" s="192" t="str">
        <f>IF(D95&gt;0,"LABA  BERSIH","RUGI BERSIH")</f>
        <v>RUGI BERSIH</v>
      </c>
      <c r="C95" s="193"/>
      <c r="D95" s="194">
        <f>D33-D87</f>
        <v>-126155329</v>
      </c>
      <c r="E95" s="185"/>
      <c r="G95" s="54"/>
      <c r="I95" s="55"/>
      <c r="J95" s="7"/>
    </row>
    <row r="96" spans="2:18" ht="15.75" customHeight="1" x14ac:dyDescent="0.2">
      <c r="G96" s="54"/>
      <c r="I96" s="55"/>
      <c r="J96" s="7"/>
    </row>
    <row r="97" spans="7:10" ht="15.75" customHeight="1" x14ac:dyDescent="0.2">
      <c r="G97" s="54"/>
      <c r="I97" s="55"/>
      <c r="J97" s="7"/>
    </row>
    <row r="98" spans="7:10" ht="15.75" customHeight="1" x14ac:dyDescent="0.2">
      <c r="G98" s="54"/>
      <c r="I98" s="55"/>
      <c r="J98" s="7"/>
    </row>
    <row r="99" spans="7:10" ht="15.75" customHeight="1" x14ac:dyDescent="0.2">
      <c r="G99" s="54"/>
      <c r="I99" s="55"/>
      <c r="J99" s="7"/>
    </row>
    <row r="100" spans="7:10" ht="15.75" customHeight="1" x14ac:dyDescent="0.2">
      <c r="G100" s="54"/>
      <c r="I100" s="55"/>
    </row>
    <row r="101" spans="7:10" ht="15.75" customHeight="1" x14ac:dyDescent="0.2">
      <c r="G101" s="54"/>
      <c r="I101" s="55"/>
    </row>
    <row r="102" spans="7:10" ht="15.75" customHeight="1" x14ac:dyDescent="0.2">
      <c r="G102" s="54"/>
      <c r="I102" s="55"/>
    </row>
    <row r="103" spans="7:10" ht="15.75" customHeight="1" x14ac:dyDescent="0.2">
      <c r="G103" s="54"/>
      <c r="I103" s="55"/>
    </row>
    <row r="104" spans="7:10" ht="15.75" customHeight="1" x14ac:dyDescent="0.2">
      <c r="G104" s="54"/>
      <c r="I104" s="55"/>
    </row>
    <row r="105" spans="7:10" ht="15.75" customHeight="1" x14ac:dyDescent="0.2">
      <c r="G105" s="54"/>
      <c r="I105" s="55"/>
    </row>
    <row r="106" spans="7:10" ht="15.75" customHeight="1" x14ac:dyDescent="0.2">
      <c r="G106" s="54"/>
      <c r="I106" s="55"/>
    </row>
    <row r="107" spans="7:10" ht="15.75" customHeight="1" x14ac:dyDescent="0.2">
      <c r="G107" s="54"/>
      <c r="I107" s="55"/>
    </row>
    <row r="108" spans="7:10" ht="15.75" customHeight="1" x14ac:dyDescent="0.2">
      <c r="G108" s="54"/>
      <c r="I108" s="55"/>
    </row>
    <row r="109" spans="7:10" ht="15.75" customHeight="1" x14ac:dyDescent="0.2">
      <c r="G109" s="54"/>
      <c r="I109" s="55"/>
    </row>
    <row r="110" spans="7:10" ht="15.75" customHeight="1" x14ac:dyDescent="0.2">
      <c r="G110" s="54"/>
      <c r="I110" s="55"/>
    </row>
    <row r="111" spans="7:10" ht="15.75" customHeight="1" x14ac:dyDescent="0.2">
      <c r="G111" s="54"/>
      <c r="I111" s="55"/>
    </row>
    <row r="112" spans="7:10" ht="15.75" customHeight="1" x14ac:dyDescent="0.2">
      <c r="G112" s="54"/>
      <c r="I112" s="55"/>
    </row>
    <row r="113" spans="7:9" ht="15.75" customHeight="1" x14ac:dyDescent="0.2">
      <c r="G113" s="54"/>
      <c r="I113" s="55"/>
    </row>
    <row r="114" spans="7:9" ht="15.75" customHeight="1" x14ac:dyDescent="0.2">
      <c r="G114" s="54"/>
      <c r="I114" s="55"/>
    </row>
    <row r="115" spans="7:9" ht="15.75" customHeight="1" x14ac:dyDescent="0.2">
      <c r="G115" s="54"/>
      <c r="I115" s="55"/>
    </row>
    <row r="116" spans="7:9" ht="15.75" customHeight="1" x14ac:dyDescent="0.2">
      <c r="G116" s="54"/>
      <c r="I116" s="55"/>
    </row>
    <row r="117" spans="7:9" ht="15.75" customHeight="1" x14ac:dyDescent="0.2">
      <c r="G117" s="54"/>
      <c r="I117" s="55"/>
    </row>
    <row r="118" spans="7:9" ht="15.75" customHeight="1" x14ac:dyDescent="0.2">
      <c r="G118" s="54"/>
      <c r="I118" s="55"/>
    </row>
    <row r="119" spans="7:9" ht="15.75" customHeight="1" x14ac:dyDescent="0.2">
      <c r="G119" s="54"/>
      <c r="I119" s="55"/>
    </row>
    <row r="120" spans="7:9" ht="15.75" customHeight="1" x14ac:dyDescent="0.2">
      <c r="G120" s="54"/>
      <c r="I120" s="55"/>
    </row>
    <row r="121" spans="7:9" ht="15.75" customHeight="1" x14ac:dyDescent="0.2">
      <c r="G121" s="54"/>
      <c r="I121" s="55"/>
    </row>
    <row r="122" spans="7:9" ht="15.75" customHeight="1" x14ac:dyDescent="0.2">
      <c r="G122" s="54"/>
      <c r="I122" s="55"/>
    </row>
    <row r="123" spans="7:9" ht="15.75" customHeight="1" x14ac:dyDescent="0.2">
      <c r="G123" s="54"/>
      <c r="I123" s="55"/>
    </row>
    <row r="124" spans="7:9" ht="15.75" customHeight="1" x14ac:dyDescent="0.2">
      <c r="G124" s="54"/>
      <c r="I124" s="55"/>
    </row>
    <row r="125" spans="7:9" ht="15.75" customHeight="1" x14ac:dyDescent="0.2">
      <c r="G125" s="54"/>
      <c r="I125" s="55"/>
    </row>
    <row r="126" spans="7:9" ht="15.75" customHeight="1" x14ac:dyDescent="0.2">
      <c r="G126" s="54"/>
      <c r="I126" s="55"/>
    </row>
    <row r="127" spans="7:9" ht="15.75" customHeight="1" x14ac:dyDescent="0.2">
      <c r="G127" s="54"/>
      <c r="I127" s="55"/>
    </row>
    <row r="128" spans="7:9" ht="15.75" customHeight="1" x14ac:dyDescent="0.2">
      <c r="G128" s="54"/>
      <c r="I128" s="55"/>
    </row>
    <row r="129" spans="7:9" ht="15.75" customHeight="1" x14ac:dyDescent="0.2">
      <c r="G129" s="54"/>
      <c r="I129" s="55"/>
    </row>
    <row r="130" spans="7:9" ht="15.75" customHeight="1" x14ac:dyDescent="0.2">
      <c r="G130" s="54"/>
      <c r="I130" s="55"/>
    </row>
    <row r="131" spans="7:9" ht="15.75" customHeight="1" x14ac:dyDescent="0.2">
      <c r="G131" s="54"/>
      <c r="I131" s="55"/>
    </row>
    <row r="132" spans="7:9" ht="15.75" customHeight="1" x14ac:dyDescent="0.2">
      <c r="G132" s="54"/>
      <c r="I132" s="55"/>
    </row>
    <row r="133" spans="7:9" ht="15.75" customHeight="1" x14ac:dyDescent="0.2">
      <c r="G133" s="54"/>
      <c r="I133" s="55"/>
    </row>
    <row r="134" spans="7:9" ht="15.75" customHeight="1" x14ac:dyDescent="0.2">
      <c r="G134" s="54"/>
      <c r="I134" s="55"/>
    </row>
    <row r="135" spans="7:9" ht="15.75" customHeight="1" x14ac:dyDescent="0.2">
      <c r="G135" s="54"/>
      <c r="I135" s="55"/>
    </row>
    <row r="136" spans="7:9" ht="15.75" customHeight="1" x14ac:dyDescent="0.2">
      <c r="G136" s="54"/>
      <c r="I136" s="55"/>
    </row>
    <row r="137" spans="7:9" ht="15.75" customHeight="1" x14ac:dyDescent="0.2">
      <c r="G137" s="54"/>
      <c r="I137" s="55"/>
    </row>
    <row r="138" spans="7:9" ht="15.75" customHeight="1" x14ac:dyDescent="0.2">
      <c r="G138" s="54"/>
      <c r="I138" s="55"/>
    </row>
    <row r="139" spans="7:9" ht="15.75" customHeight="1" x14ac:dyDescent="0.2">
      <c r="G139" s="54"/>
      <c r="I139" s="55"/>
    </row>
    <row r="140" spans="7:9" ht="15.75" customHeight="1" x14ac:dyDescent="0.2">
      <c r="G140" s="54"/>
      <c r="I140" s="55"/>
    </row>
    <row r="141" spans="7:9" ht="15.75" customHeight="1" x14ac:dyDescent="0.2">
      <c r="G141" s="54"/>
      <c r="I141" s="55"/>
    </row>
    <row r="142" spans="7:9" ht="15.75" customHeight="1" x14ac:dyDescent="0.2">
      <c r="G142" s="54"/>
      <c r="I142" s="55"/>
    </row>
    <row r="143" spans="7:9" ht="15.75" customHeight="1" x14ac:dyDescent="0.2">
      <c r="G143" s="54"/>
      <c r="I143" s="55"/>
    </row>
    <row r="144" spans="7:9" ht="15.75" customHeight="1" x14ac:dyDescent="0.2">
      <c r="G144" s="54"/>
      <c r="I144" s="55"/>
    </row>
    <row r="145" spans="7:9" ht="15.75" customHeight="1" x14ac:dyDescent="0.2">
      <c r="G145" s="54"/>
      <c r="I145" s="55"/>
    </row>
    <row r="146" spans="7:9" ht="15.75" customHeight="1" x14ac:dyDescent="0.2">
      <c r="G146" s="54"/>
      <c r="I146" s="55"/>
    </row>
    <row r="147" spans="7:9" ht="15.75" customHeight="1" x14ac:dyDescent="0.2">
      <c r="G147" s="54"/>
      <c r="I147" s="55"/>
    </row>
    <row r="148" spans="7:9" ht="15.75" customHeight="1" x14ac:dyDescent="0.2">
      <c r="G148" s="54"/>
      <c r="I148" s="55"/>
    </row>
    <row r="149" spans="7:9" ht="15.75" customHeight="1" x14ac:dyDescent="0.2">
      <c r="G149" s="54"/>
      <c r="I149" s="55"/>
    </row>
    <row r="150" spans="7:9" ht="15.75" customHeight="1" x14ac:dyDescent="0.2">
      <c r="G150" s="54"/>
      <c r="I150" s="55"/>
    </row>
    <row r="151" spans="7:9" ht="15.75" customHeight="1" x14ac:dyDescent="0.2">
      <c r="G151" s="54"/>
      <c r="I151" s="55"/>
    </row>
    <row r="152" spans="7:9" ht="15.75" customHeight="1" x14ac:dyDescent="0.2">
      <c r="G152" s="54"/>
      <c r="I152" s="55"/>
    </row>
    <row r="153" spans="7:9" ht="15.75" customHeight="1" x14ac:dyDescent="0.2">
      <c r="G153" s="54"/>
      <c r="I153" s="55"/>
    </row>
    <row r="154" spans="7:9" ht="15.75" customHeight="1" x14ac:dyDescent="0.2">
      <c r="G154" s="54"/>
      <c r="I154" s="55"/>
    </row>
    <row r="155" spans="7:9" ht="15.75" customHeight="1" x14ac:dyDescent="0.2">
      <c r="G155" s="54"/>
      <c r="I155" s="55"/>
    </row>
    <row r="156" spans="7:9" ht="15.75" customHeight="1" x14ac:dyDescent="0.2">
      <c r="G156" s="54"/>
      <c r="I156" s="55"/>
    </row>
    <row r="157" spans="7:9" ht="15.75" customHeight="1" x14ac:dyDescent="0.2">
      <c r="G157" s="54"/>
      <c r="I157" s="55"/>
    </row>
    <row r="158" spans="7:9" ht="15.75" customHeight="1" x14ac:dyDescent="0.2">
      <c r="G158" s="54"/>
      <c r="I158" s="55"/>
    </row>
    <row r="159" spans="7:9" ht="15.75" customHeight="1" x14ac:dyDescent="0.2">
      <c r="G159" s="54"/>
      <c r="I159" s="55"/>
    </row>
    <row r="160" spans="7:9" ht="15.75" customHeight="1" x14ac:dyDescent="0.2">
      <c r="G160" s="54"/>
      <c r="I160" s="55"/>
    </row>
    <row r="161" spans="7:9" ht="15.75" customHeight="1" x14ac:dyDescent="0.2">
      <c r="G161" s="54"/>
      <c r="I161" s="55"/>
    </row>
    <row r="162" spans="7:9" ht="15.75" customHeight="1" x14ac:dyDescent="0.2">
      <c r="G162" s="54"/>
      <c r="I162" s="55"/>
    </row>
    <row r="163" spans="7:9" ht="15.75" customHeight="1" x14ac:dyDescent="0.2">
      <c r="G163" s="54"/>
      <c r="I163" s="55"/>
    </row>
    <row r="164" spans="7:9" ht="15.75" customHeight="1" x14ac:dyDescent="0.2">
      <c r="G164" s="54"/>
      <c r="I164" s="55"/>
    </row>
    <row r="165" spans="7:9" ht="15.75" customHeight="1" x14ac:dyDescent="0.2">
      <c r="G165" s="54"/>
      <c r="I165" s="55"/>
    </row>
    <row r="166" spans="7:9" ht="15.75" customHeight="1" x14ac:dyDescent="0.2">
      <c r="G166" s="54"/>
      <c r="I166" s="55"/>
    </row>
    <row r="167" spans="7:9" ht="15.75" customHeight="1" x14ac:dyDescent="0.2">
      <c r="G167" s="54"/>
      <c r="I167" s="55"/>
    </row>
    <row r="168" spans="7:9" ht="15.75" customHeight="1" x14ac:dyDescent="0.2">
      <c r="G168" s="54"/>
      <c r="I168" s="55"/>
    </row>
    <row r="169" spans="7:9" ht="15.75" customHeight="1" x14ac:dyDescent="0.2">
      <c r="G169" s="54"/>
      <c r="I169" s="55"/>
    </row>
    <row r="170" spans="7:9" ht="15.75" customHeight="1" x14ac:dyDescent="0.2">
      <c r="G170" s="54"/>
      <c r="I170" s="55"/>
    </row>
    <row r="171" spans="7:9" ht="15.75" customHeight="1" x14ac:dyDescent="0.2">
      <c r="G171" s="54"/>
      <c r="I171" s="55"/>
    </row>
    <row r="172" spans="7:9" ht="15.75" customHeight="1" x14ac:dyDescent="0.2">
      <c r="G172" s="54"/>
      <c r="I172" s="55"/>
    </row>
    <row r="173" spans="7:9" ht="15.75" customHeight="1" x14ac:dyDescent="0.2">
      <c r="G173" s="54"/>
      <c r="I173" s="55"/>
    </row>
    <row r="174" spans="7:9" ht="15.75" customHeight="1" x14ac:dyDescent="0.2">
      <c r="G174" s="54"/>
      <c r="I174" s="55"/>
    </row>
    <row r="175" spans="7:9" ht="15.75" customHeight="1" x14ac:dyDescent="0.2">
      <c r="G175" s="54"/>
      <c r="I175" s="55"/>
    </row>
    <row r="176" spans="7:9" ht="15.75" customHeight="1" x14ac:dyDescent="0.2">
      <c r="G176" s="54"/>
      <c r="I176" s="55"/>
    </row>
    <row r="177" spans="7:9" ht="15.75" customHeight="1" x14ac:dyDescent="0.2">
      <c r="G177" s="54"/>
      <c r="I177" s="55"/>
    </row>
    <row r="178" spans="7:9" ht="15.75" customHeight="1" x14ac:dyDescent="0.2">
      <c r="G178" s="54"/>
      <c r="I178" s="55"/>
    </row>
    <row r="179" spans="7:9" ht="15.75" customHeight="1" x14ac:dyDescent="0.2">
      <c r="G179" s="54"/>
      <c r="I179" s="55"/>
    </row>
    <row r="180" spans="7:9" ht="15.75" customHeight="1" x14ac:dyDescent="0.2">
      <c r="G180" s="54"/>
      <c r="I180" s="55"/>
    </row>
    <row r="181" spans="7:9" ht="15.75" customHeight="1" x14ac:dyDescent="0.2">
      <c r="G181" s="54"/>
      <c r="I181" s="55"/>
    </row>
    <row r="182" spans="7:9" ht="15.75" customHeight="1" x14ac:dyDescent="0.2">
      <c r="G182" s="54"/>
      <c r="I182" s="55"/>
    </row>
    <row r="183" spans="7:9" ht="15.75" customHeight="1" x14ac:dyDescent="0.2">
      <c r="G183" s="54"/>
      <c r="I183" s="55"/>
    </row>
    <row r="184" spans="7:9" ht="15.75" customHeight="1" x14ac:dyDescent="0.2">
      <c r="G184" s="54"/>
      <c r="I184" s="55"/>
    </row>
    <row r="185" spans="7:9" ht="15.75" customHeight="1" x14ac:dyDescent="0.2">
      <c r="G185" s="54"/>
      <c r="I185" s="55"/>
    </row>
    <row r="186" spans="7:9" ht="15.75" customHeight="1" x14ac:dyDescent="0.2">
      <c r="G186" s="54"/>
      <c r="I186" s="55"/>
    </row>
    <row r="187" spans="7:9" ht="15.75" customHeight="1" x14ac:dyDescent="0.2">
      <c r="G187" s="54"/>
      <c r="I187" s="55"/>
    </row>
    <row r="188" spans="7:9" ht="15.75" customHeight="1" x14ac:dyDescent="0.2">
      <c r="G188" s="54"/>
      <c r="I188" s="55"/>
    </row>
    <row r="189" spans="7:9" ht="15.75" customHeight="1" x14ac:dyDescent="0.2">
      <c r="G189" s="54"/>
      <c r="I189" s="55"/>
    </row>
    <row r="190" spans="7:9" ht="15.75" customHeight="1" x14ac:dyDescent="0.2">
      <c r="G190" s="54"/>
      <c r="I190" s="55"/>
    </row>
    <row r="191" spans="7:9" ht="15.75" customHeight="1" x14ac:dyDescent="0.2">
      <c r="G191" s="54"/>
      <c r="I191" s="55"/>
    </row>
    <row r="192" spans="7:9" ht="15.75" customHeight="1" x14ac:dyDescent="0.2">
      <c r="G192" s="54"/>
      <c r="I192" s="55"/>
    </row>
    <row r="193" spans="7:9" ht="15.75" customHeight="1" x14ac:dyDescent="0.2">
      <c r="G193" s="54"/>
      <c r="I193" s="55"/>
    </row>
    <row r="194" spans="7:9" ht="15.75" customHeight="1" x14ac:dyDescent="0.2">
      <c r="G194" s="54"/>
      <c r="I194" s="55"/>
    </row>
    <row r="195" spans="7:9" ht="15.75" customHeight="1" x14ac:dyDescent="0.2">
      <c r="G195" s="54"/>
      <c r="I195" s="55"/>
    </row>
    <row r="196" spans="7:9" ht="15.75" customHeight="1" x14ac:dyDescent="0.2">
      <c r="G196" s="54"/>
      <c r="I196" s="55"/>
    </row>
    <row r="197" spans="7:9" ht="15.75" customHeight="1" x14ac:dyDescent="0.2">
      <c r="G197" s="54"/>
      <c r="I197" s="55"/>
    </row>
    <row r="198" spans="7:9" ht="15.75" customHeight="1" x14ac:dyDescent="0.2">
      <c r="G198" s="54"/>
      <c r="I198" s="55"/>
    </row>
    <row r="199" spans="7:9" ht="15.75" customHeight="1" x14ac:dyDescent="0.2">
      <c r="G199" s="54"/>
      <c r="I199" s="55"/>
    </row>
    <row r="200" spans="7:9" ht="15.75" customHeight="1" x14ac:dyDescent="0.2">
      <c r="G200" s="54"/>
      <c r="I200" s="55"/>
    </row>
    <row r="201" spans="7:9" ht="15.75" customHeight="1" x14ac:dyDescent="0.2">
      <c r="G201" s="54"/>
      <c r="I201" s="55"/>
    </row>
    <row r="202" spans="7:9" ht="15.75" customHeight="1" x14ac:dyDescent="0.2">
      <c r="G202" s="54"/>
      <c r="I202" s="55"/>
    </row>
    <row r="203" spans="7:9" ht="15.75" customHeight="1" x14ac:dyDescent="0.2">
      <c r="G203" s="54"/>
      <c r="I203" s="55"/>
    </row>
    <row r="204" spans="7:9" ht="15.75" customHeight="1" x14ac:dyDescent="0.2">
      <c r="G204" s="54"/>
      <c r="I204" s="55"/>
    </row>
    <row r="205" spans="7:9" ht="15.75" customHeight="1" x14ac:dyDescent="0.2">
      <c r="G205" s="54"/>
      <c r="I205" s="55"/>
    </row>
    <row r="206" spans="7:9" ht="15.75" customHeight="1" x14ac:dyDescent="0.2">
      <c r="G206" s="54"/>
      <c r="I206" s="55"/>
    </row>
    <row r="207" spans="7:9" ht="15.75" customHeight="1" x14ac:dyDescent="0.2">
      <c r="G207" s="54"/>
      <c r="I207" s="55"/>
    </row>
    <row r="208" spans="7:9" ht="15.75" customHeight="1" x14ac:dyDescent="0.2">
      <c r="G208" s="54"/>
      <c r="I208" s="55"/>
    </row>
    <row r="209" spans="7:9" ht="15.75" customHeight="1" x14ac:dyDescent="0.2">
      <c r="G209" s="54"/>
      <c r="I209" s="55"/>
    </row>
    <row r="210" spans="7:9" ht="15.75" customHeight="1" x14ac:dyDescent="0.2">
      <c r="G210" s="54"/>
      <c r="I210" s="55"/>
    </row>
    <row r="211" spans="7:9" ht="15.75" customHeight="1" x14ac:dyDescent="0.2">
      <c r="G211" s="54"/>
      <c r="I211" s="55"/>
    </row>
    <row r="212" spans="7:9" ht="15.75" customHeight="1" x14ac:dyDescent="0.2">
      <c r="G212" s="54"/>
      <c r="I212" s="55"/>
    </row>
    <row r="213" spans="7:9" ht="15.75" customHeight="1" x14ac:dyDescent="0.2">
      <c r="G213" s="54"/>
      <c r="I213" s="55"/>
    </row>
    <row r="214" spans="7:9" ht="15.75" customHeight="1" x14ac:dyDescent="0.2">
      <c r="G214" s="54"/>
      <c r="I214" s="55"/>
    </row>
    <row r="215" spans="7:9" ht="15.75" customHeight="1" x14ac:dyDescent="0.2">
      <c r="G215" s="54"/>
      <c r="I215" s="55"/>
    </row>
    <row r="216" spans="7:9" ht="15.75" customHeight="1" x14ac:dyDescent="0.2">
      <c r="G216" s="54"/>
      <c r="I216" s="55"/>
    </row>
    <row r="217" spans="7:9" ht="15.75" customHeight="1" x14ac:dyDescent="0.2">
      <c r="G217" s="54"/>
      <c r="I217" s="55"/>
    </row>
    <row r="218" spans="7:9" ht="15.75" customHeight="1" x14ac:dyDescent="0.2">
      <c r="G218" s="54"/>
      <c r="I218" s="55"/>
    </row>
    <row r="219" spans="7:9" ht="15.75" customHeight="1" x14ac:dyDescent="0.2">
      <c r="G219" s="54"/>
      <c r="I219" s="55"/>
    </row>
    <row r="220" spans="7:9" ht="15.75" customHeight="1" x14ac:dyDescent="0.2">
      <c r="G220" s="54"/>
      <c r="I220" s="55"/>
    </row>
    <row r="221" spans="7:9" ht="15.75" customHeight="1" x14ac:dyDescent="0.2">
      <c r="G221" s="54"/>
      <c r="I221" s="55"/>
    </row>
    <row r="222" spans="7:9" ht="15.75" customHeight="1" x14ac:dyDescent="0.2">
      <c r="G222" s="54"/>
      <c r="I222" s="55"/>
    </row>
    <row r="223" spans="7:9" ht="15.75" customHeight="1" x14ac:dyDescent="0.2">
      <c r="G223" s="54"/>
      <c r="I223" s="55"/>
    </row>
    <row r="224" spans="7:9" ht="15.75" customHeight="1" x14ac:dyDescent="0.2">
      <c r="G224" s="54"/>
      <c r="I224" s="55"/>
    </row>
    <row r="225" spans="7:9" ht="15.75" customHeight="1" x14ac:dyDescent="0.2">
      <c r="G225" s="54"/>
      <c r="I225" s="55"/>
    </row>
    <row r="226" spans="7:9" ht="15.75" customHeight="1" x14ac:dyDescent="0.2">
      <c r="G226" s="54"/>
      <c r="I226" s="55"/>
    </row>
    <row r="227" spans="7:9" ht="15.75" customHeight="1" x14ac:dyDescent="0.2">
      <c r="G227" s="54"/>
      <c r="I227" s="55"/>
    </row>
    <row r="228" spans="7:9" ht="15.75" customHeight="1" x14ac:dyDescent="0.15"/>
    <row r="229" spans="7:9" ht="15.75" customHeight="1" x14ac:dyDescent="0.15"/>
    <row r="230" spans="7:9" ht="15.75" customHeight="1" x14ac:dyDescent="0.15"/>
    <row r="231" spans="7:9" ht="15.75" customHeight="1" x14ac:dyDescent="0.15"/>
    <row r="232" spans="7:9" ht="15.75" customHeight="1" x14ac:dyDescent="0.15"/>
    <row r="233" spans="7:9" ht="15.75" customHeight="1" x14ac:dyDescent="0.15"/>
    <row r="234" spans="7:9" ht="15.75" customHeight="1" x14ac:dyDescent="0.15"/>
    <row r="235" spans="7:9" ht="15.75" customHeight="1" x14ac:dyDescent="0.15"/>
    <row r="236" spans="7:9" ht="15.75" customHeight="1" x14ac:dyDescent="0.15"/>
    <row r="237" spans="7:9" ht="15.75" customHeight="1" x14ac:dyDescent="0.15"/>
    <row r="238" spans="7:9" ht="15.75" customHeight="1" x14ac:dyDescent="0.15"/>
    <row r="239" spans="7:9" ht="15.75" customHeight="1" x14ac:dyDescent="0.15"/>
    <row r="240" spans="7: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</sheetData>
  <mergeCells count="13">
    <mergeCell ref="B88:C88"/>
    <mergeCell ref="O2:R2"/>
    <mergeCell ref="O3:R3"/>
    <mergeCell ref="O4:R4"/>
    <mergeCell ref="B2:E2"/>
    <mergeCell ref="B3:E3"/>
    <mergeCell ref="B4:E4"/>
    <mergeCell ref="O85:P85"/>
    <mergeCell ref="O8:P8"/>
    <mergeCell ref="O21:P21"/>
    <mergeCell ref="O22:P22"/>
    <mergeCell ref="O77:P77"/>
    <mergeCell ref="O78:P78"/>
  </mergeCells>
  <pageMargins left="0.7" right="0.7" top="0.75" bottom="0.75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CONTROL!$F$18:$F$22</xm:f>
          </x14:formula1>
          <xm:sqref>J7:J99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workbookViewId="0">
      <selection activeCell="L22" sqref="L22"/>
    </sheetView>
  </sheetViews>
  <sheetFormatPr baseColWidth="10" defaultColWidth="12.6640625" defaultRowHeight="15" customHeight="1" x14ac:dyDescent="0.15"/>
  <cols>
    <col min="1" max="1" width="12" customWidth="1"/>
    <col min="2" max="2" width="8.6640625" customWidth="1"/>
    <col min="3" max="3" width="12.33203125" customWidth="1"/>
    <col min="4" max="4" width="18.1640625" customWidth="1"/>
    <col min="5" max="5" width="2.6640625" customWidth="1"/>
    <col min="6" max="6" width="16.1640625" customWidth="1"/>
    <col min="7" max="21" width="8.6640625" customWidth="1"/>
    <col min="22" max="26" width="14.33203125" customWidth="1"/>
  </cols>
  <sheetData>
    <row r="1" spans="1:21" ht="14" x14ac:dyDescent="0.15">
      <c r="A1" s="73"/>
      <c r="B1" s="73"/>
      <c r="C1" s="73"/>
      <c r="D1" s="73"/>
      <c r="E1" s="73"/>
      <c r="F1" s="73"/>
      <c r="G1" s="73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14" x14ac:dyDescent="0.15">
      <c r="A2" s="73"/>
      <c r="B2" s="256" t="str">
        <f>NRC!B2</f>
        <v>PT. TERANG GARAM SOLUSINDO</v>
      </c>
      <c r="C2" s="233"/>
      <c r="D2" s="233"/>
      <c r="E2" s="233"/>
      <c r="F2" s="233"/>
      <c r="G2" s="73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1" ht="14" x14ac:dyDescent="0.15">
      <c r="A3" s="73"/>
      <c r="B3" s="257" t="s">
        <v>91</v>
      </c>
      <c r="C3" s="224"/>
      <c r="D3" s="224"/>
      <c r="E3" s="224"/>
      <c r="F3" s="224"/>
      <c r="G3" s="73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21" ht="14" x14ac:dyDescent="0.15">
      <c r="A4" s="73"/>
      <c r="B4" s="258" t="str">
        <f>NRC!B4</f>
        <v>PERIODE</v>
      </c>
      <c r="C4" s="238"/>
      <c r="D4" s="238"/>
      <c r="E4" s="238"/>
      <c r="F4" s="238"/>
      <c r="G4" s="73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 spans="1:21" ht="14" x14ac:dyDescent="0.15">
      <c r="A5" s="73"/>
      <c r="B5" s="73"/>
      <c r="C5" s="73"/>
      <c r="D5" s="73"/>
      <c r="E5" s="73"/>
      <c r="F5" s="73"/>
      <c r="G5" s="73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</row>
    <row r="6" spans="1:21" ht="14" x14ac:dyDescent="0.15">
      <c r="A6" s="73"/>
      <c r="B6" s="75" t="s">
        <v>92</v>
      </c>
      <c r="C6" s="76"/>
      <c r="D6" s="76"/>
      <c r="E6" s="76"/>
      <c r="F6" s="77">
        <f>NRL!H18</f>
        <v>0</v>
      </c>
      <c r="G6" s="73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</row>
    <row r="7" spans="1:21" ht="14" x14ac:dyDescent="0.15">
      <c r="A7" s="73"/>
      <c r="B7" s="78" t="s">
        <v>93</v>
      </c>
      <c r="C7" s="73"/>
      <c r="D7" s="79">
        <f>NRL!J18</f>
        <v>0</v>
      </c>
      <c r="E7" s="73"/>
      <c r="F7" s="80"/>
      <c r="G7" s="73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 spans="1:21" ht="14" x14ac:dyDescent="0.15">
      <c r="A8" s="73"/>
      <c r="B8" s="78" t="e">
        <f>IF(F9&gt;0,"Laba","Kerugian")</f>
        <v>#N/A</v>
      </c>
      <c r="C8" s="73"/>
      <c r="D8" s="81" t="e">
        <f>NRL!N126</f>
        <v>#N/A</v>
      </c>
      <c r="E8" s="73"/>
      <c r="F8" s="80"/>
      <c r="G8" s="73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 spans="1:21" x14ac:dyDescent="0.2">
      <c r="A9" s="73"/>
      <c r="B9" s="78" t="e">
        <f>IF(F9&gt;0,"Kenaikan Modal","Penurunan Modal")</f>
        <v>#N/A</v>
      </c>
      <c r="C9" s="7"/>
      <c r="D9" s="7"/>
      <c r="E9" s="73"/>
      <c r="F9" s="82" t="e">
        <f>SUM(D7:D8)</f>
        <v>#N/A</v>
      </c>
      <c r="G9" s="73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</row>
    <row r="10" spans="1:21" ht="14" x14ac:dyDescent="0.15">
      <c r="A10" s="73"/>
      <c r="B10" s="83" t="s">
        <v>94</v>
      </c>
      <c r="C10" s="84"/>
      <c r="D10" s="84"/>
      <c r="E10" s="84"/>
      <c r="F10" s="85" t="e">
        <f>SUM(F6:F9)</f>
        <v>#N/A</v>
      </c>
      <c r="G10" s="73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</row>
    <row r="11" spans="1:21" ht="14" x14ac:dyDescent="0.15">
      <c r="A11" s="73"/>
      <c r="B11" s="73"/>
      <c r="C11" s="73"/>
      <c r="D11" s="73"/>
      <c r="E11" s="73"/>
      <c r="F11" s="73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</row>
    <row r="12" spans="1:21" ht="14" x14ac:dyDescent="0.15">
      <c r="A12" s="73"/>
      <c r="B12" s="73"/>
      <c r="C12" s="73"/>
      <c r="D12" s="73"/>
      <c r="E12" s="73"/>
      <c r="F12" s="73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spans="1:21" ht="14" x14ac:dyDescent="0.15">
      <c r="A13" s="73"/>
      <c r="B13" s="73"/>
      <c r="C13" s="73"/>
      <c r="D13" s="73"/>
      <c r="E13" s="73"/>
      <c r="F13" s="73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spans="1:21" ht="14" x14ac:dyDescent="0.15">
      <c r="A14" s="73"/>
      <c r="B14" s="73"/>
      <c r="C14" s="73"/>
      <c r="D14" s="73"/>
      <c r="E14" s="73"/>
      <c r="F14" s="73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</row>
    <row r="15" spans="1:21" ht="14" x14ac:dyDescent="0.15">
      <c r="A15" s="73"/>
      <c r="B15" s="73"/>
      <c r="C15" s="73"/>
      <c r="D15" s="73"/>
      <c r="E15" s="73"/>
      <c r="F15" s="73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 spans="1:21" ht="14" x14ac:dyDescent="0.15">
      <c r="A16" s="73"/>
      <c r="B16" s="73"/>
      <c r="C16" s="73"/>
      <c r="D16" s="73"/>
      <c r="E16" s="73"/>
      <c r="F16" s="73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 spans="1:21" ht="14" x14ac:dyDescent="0.15">
      <c r="A17" s="73"/>
      <c r="B17" s="73"/>
      <c r="C17" s="73"/>
      <c r="D17" s="73"/>
      <c r="E17" s="73"/>
      <c r="F17" s="73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</row>
    <row r="18" spans="1:21" ht="14" x14ac:dyDescent="0.1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 spans="1:21" ht="14" x14ac:dyDescent="0.1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</row>
    <row r="20" spans="1:21" ht="14" x14ac:dyDescent="0.1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ht="15.75" customHeight="1" x14ac:dyDescent="0.1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</row>
    <row r="22" spans="1:21" ht="15.75" customHeight="1" x14ac:dyDescent="0.1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spans="1:21" ht="15.75" customHeight="1" x14ac:dyDescent="0.1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</row>
    <row r="24" spans="1:21" ht="15.75" customHeight="1" x14ac:dyDescent="0.1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spans="1:21" ht="15.75" customHeight="1" x14ac:dyDescent="0.1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21" ht="15.75" customHeight="1" x14ac:dyDescent="0.1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21" ht="15.75" customHeight="1" x14ac:dyDescent="0.1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21" ht="15.75" customHeight="1" x14ac:dyDescent="0.1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21" ht="15.75" customHeight="1" x14ac:dyDescent="0.1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21" ht="15.75" customHeight="1" x14ac:dyDescent="0.1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21" ht="15.75" customHeight="1" x14ac:dyDescent="0.1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21" ht="15.75" customHeight="1" x14ac:dyDescent="0.1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2:19" ht="15.75" customHeight="1" x14ac:dyDescent="0.1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2:19" ht="15.75" customHeight="1" x14ac:dyDescent="0.15"/>
    <row r="35" spans="2:19" ht="15.75" customHeight="1" x14ac:dyDescent="0.15"/>
    <row r="36" spans="2:19" ht="15.75" customHeight="1" x14ac:dyDescent="0.15"/>
    <row r="37" spans="2:19" ht="15.75" customHeight="1" x14ac:dyDescent="0.15"/>
    <row r="38" spans="2:19" ht="15.75" customHeight="1" x14ac:dyDescent="0.15"/>
    <row r="39" spans="2:19" ht="15.75" customHeight="1" x14ac:dyDescent="0.15"/>
    <row r="40" spans="2:19" ht="15.75" customHeight="1" x14ac:dyDescent="0.15"/>
    <row r="41" spans="2:19" ht="15.75" customHeight="1" x14ac:dyDescent="0.15"/>
    <row r="42" spans="2:19" ht="15.75" customHeight="1" x14ac:dyDescent="0.15"/>
    <row r="43" spans="2:19" ht="15.75" customHeight="1" x14ac:dyDescent="0.15"/>
    <row r="44" spans="2:19" ht="15.75" customHeight="1" x14ac:dyDescent="0.15"/>
    <row r="45" spans="2:19" ht="15.75" customHeight="1" x14ac:dyDescent="0.15"/>
    <row r="46" spans="2:19" ht="15.75" customHeight="1" x14ac:dyDescent="0.15"/>
    <row r="47" spans="2:19" ht="15.75" customHeight="1" x14ac:dyDescent="0.15"/>
    <row r="48" spans="2:19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F2"/>
    <mergeCell ref="B3:F3"/>
    <mergeCell ref="B4:F4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M15" sqref="M15"/>
    </sheetView>
  </sheetViews>
  <sheetFormatPr baseColWidth="10" defaultColWidth="12.6640625" defaultRowHeight="15" customHeight="1" outlineLevelCol="1" x14ac:dyDescent="0.15"/>
  <cols>
    <col min="1" max="1" width="11.83203125" customWidth="1"/>
    <col min="2" max="2" width="9.1640625" customWidth="1"/>
    <col min="3" max="3" width="36.1640625" customWidth="1"/>
    <col min="4" max="4" width="25.83203125" customWidth="1"/>
    <col min="5" max="5" width="2.6640625" customWidth="1"/>
    <col min="6" max="6" width="16" hidden="1" customWidth="1" outlineLevel="1"/>
    <col min="7" max="7" width="13.83203125" hidden="1" customWidth="1" outlineLevel="1"/>
    <col min="8" max="8" width="12.6640625" hidden="1" customWidth="1" outlineLevel="1"/>
    <col min="9" max="9" width="26.83203125" customWidth="1" collapsed="1"/>
    <col min="10" max="10" width="11.1640625" customWidth="1"/>
    <col min="11" max="26" width="8.6640625" customWidth="1"/>
  </cols>
  <sheetData>
    <row r="1" spans="1:26" ht="13.5" customHeight="1" x14ac:dyDescent="0.15">
      <c r="A1" s="73"/>
      <c r="B1" s="73"/>
      <c r="C1" s="73"/>
      <c r="D1" s="86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3.5" customHeight="1" x14ac:dyDescent="0.15">
      <c r="A2" s="73"/>
      <c r="B2" s="256" t="str">
        <f>LR!B2</f>
        <v>PT. TERANG GARAM SOLUSINDO</v>
      </c>
      <c r="C2" s="233"/>
      <c r="D2" s="23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3.5" customHeight="1" x14ac:dyDescent="0.15">
      <c r="A3" s="73"/>
      <c r="B3" s="257" t="s">
        <v>95</v>
      </c>
      <c r="C3" s="224"/>
      <c r="D3" s="224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3.5" customHeight="1" x14ac:dyDescent="0.15">
      <c r="A4" s="73"/>
      <c r="B4" s="258" t="str">
        <f>LR!B4</f>
        <v>PERIODE</v>
      </c>
      <c r="C4" s="238"/>
      <c r="D4" s="238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3.5" customHeight="1" x14ac:dyDescent="0.15">
      <c r="A5" s="73"/>
      <c r="B5" s="73"/>
      <c r="C5" s="73"/>
      <c r="D5" s="86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3.5" customHeight="1" x14ac:dyDescent="0.2">
      <c r="A6" s="73"/>
      <c r="B6" s="87" t="s">
        <v>96</v>
      </c>
      <c r="C6" s="88" t="s">
        <v>79</v>
      </c>
      <c r="D6" s="89" t="s">
        <v>80</v>
      </c>
      <c r="E6" s="73"/>
      <c r="F6" s="90" t="s">
        <v>81</v>
      </c>
      <c r="G6" s="90" t="s">
        <v>82</v>
      </c>
      <c r="H6" s="91" t="s">
        <v>7</v>
      </c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3.5" customHeight="1" x14ac:dyDescent="0.15">
      <c r="A7" s="73"/>
      <c r="B7" s="92" t="s">
        <v>97</v>
      </c>
      <c r="C7" s="73"/>
      <c r="D7" s="93" t="str">
        <f t="shared" ref="D7:D15" si="0">IFERROR(IF(H7="Debet",F7-G7,G7-F7),"")</f>
        <v/>
      </c>
      <c r="E7" s="73"/>
      <c r="F7" s="73" t="str">
        <f t="array" ref="F7">IFERROR(INDEX(NRCLDB2,MATCH(B7,NRCLKODE,0)),"")</f>
        <v/>
      </c>
      <c r="G7" s="73"/>
      <c r="H7" s="73" t="str">
        <f t="array" ref="H7">IFERROR(INDEX(NRCLSN,MATCH(B7,NRCLKODE,0)),"")</f>
        <v/>
      </c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3.5" customHeight="1" x14ac:dyDescent="0.15">
      <c r="A8" s="73"/>
      <c r="B8" s="78">
        <f>COA!B5</f>
        <v>1101</v>
      </c>
      <c r="C8" s="64" t="str">
        <f t="array" ref="C8">IFERROR(INDEX(Nama_Akun,MATCH(B8,KODEAKUN,0)),"")</f>
        <v>Kas</v>
      </c>
      <c r="D8" s="93">
        <f t="shared" si="0"/>
        <v>0</v>
      </c>
      <c r="E8" s="73"/>
      <c r="F8" s="73">
        <f t="array" ref="F8">IFERROR(INDEX(NRCLDB2,MATCH(B8,NRCLKODE,0)),"")</f>
        <v>0</v>
      </c>
      <c r="G8" s="73">
        <f t="array" ref="G8">IFERROR(INDEX(NRCLKR2,MATCH(B8,NRCLKODE,0)),"")</f>
        <v>0</v>
      </c>
      <c r="H8" s="73" t="str">
        <f t="array" ref="H8">IFERROR(INDEX(NRCLSN,MATCH(B8,NRCLKODE,0)),"")</f>
        <v>Debet</v>
      </c>
      <c r="I8" s="73" t="s">
        <v>26</v>
      </c>
      <c r="J8" s="86">
        <f t="shared" ref="J8:J15" si="1">D8</f>
        <v>0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3.5" customHeight="1" x14ac:dyDescent="0.15">
      <c r="A9" s="73"/>
      <c r="B9" s="78">
        <f>COA!B6</f>
        <v>1102</v>
      </c>
      <c r="C9" s="64" t="str">
        <f t="array" ref="C9">IFERROR(INDEX(Nama_Akun,MATCH(B9,KODEAKUN,0)),"")</f>
        <v>Kas Di Bank</v>
      </c>
      <c r="D9" s="93">
        <f t="shared" si="0"/>
        <v>0</v>
      </c>
      <c r="E9" s="73"/>
      <c r="F9" s="73">
        <f t="array" ref="F9">IFERROR(INDEX(NRCLDB2,MATCH(B9,NRCLKODE,0)),"")</f>
        <v>0</v>
      </c>
      <c r="G9" s="73">
        <f t="array" ref="G9">IFERROR(INDEX(NRCLKR2,MATCH(B9,NRCLKODE,0)),"")</f>
        <v>0</v>
      </c>
      <c r="H9" s="73" t="str">
        <f t="array" ref="H9">IFERROR(INDEX(NRCLSN,MATCH(B9,NRCLKODE,0)),"")</f>
        <v>Debet</v>
      </c>
      <c r="I9" s="73" t="s">
        <v>26</v>
      </c>
      <c r="J9" s="86">
        <f t="shared" si="1"/>
        <v>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3.5" customHeight="1" x14ac:dyDescent="0.15">
      <c r="A10" s="73"/>
      <c r="B10" s="78">
        <f>COA!B7</f>
        <v>1103</v>
      </c>
      <c r="C10" s="64" t="str">
        <f t="array" ref="C10">IFERROR(INDEX(Nama_Akun,MATCH(B10,KODEAKUN,0)),"")</f>
        <v>Petty Cash</v>
      </c>
      <c r="D10" s="93">
        <f t="shared" si="0"/>
        <v>0</v>
      </c>
      <c r="E10" s="73"/>
      <c r="F10" s="73">
        <f t="array" ref="F10">IFERROR(INDEX(NRCLDB2,MATCH(B10,NRCLKODE,0)),"")</f>
        <v>0</v>
      </c>
      <c r="G10" s="73">
        <f t="array" ref="G10">IFERROR(INDEX(NRCLKR2,MATCH(B10,NRCLKODE,0)),"")</f>
        <v>0</v>
      </c>
      <c r="H10" s="73" t="str">
        <f t="array" ref="H10">IFERROR(INDEX(NRCLSN,MATCH(B10,NRCLKODE,0)),"")</f>
        <v>Debet</v>
      </c>
      <c r="I10" s="73" t="s">
        <v>26</v>
      </c>
      <c r="J10" s="86">
        <f t="shared" si="1"/>
        <v>0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3.5" customHeight="1" x14ac:dyDescent="0.15">
      <c r="A11" s="73"/>
      <c r="B11" s="78">
        <f>COA!B8</f>
        <v>1104</v>
      </c>
      <c r="C11" s="64" t="str">
        <f t="array" ref="C11">IFERROR(INDEX(Nama_Akun,MATCH(B11,KODEAKUN,0)),"")</f>
        <v>Piutang</v>
      </c>
      <c r="D11" s="93">
        <f t="shared" si="0"/>
        <v>0</v>
      </c>
      <c r="E11" s="73"/>
      <c r="F11" s="73">
        <f t="array" ref="F11">IFERROR(INDEX(NRCLDB2,MATCH(B11,NRCLKODE,0)),"")</f>
        <v>0</v>
      </c>
      <c r="G11" s="73">
        <f t="array" ref="G11">IFERROR(INDEX(NRCLKR2,MATCH(B11,NRCLKODE,0)),"")</f>
        <v>0</v>
      </c>
      <c r="H11" s="73" t="str">
        <f t="array" ref="H11">IFERROR(INDEX(NRCLSN,MATCH(B11,NRCLKODE,0)),"")</f>
        <v>Debet</v>
      </c>
      <c r="I11" s="73" t="s">
        <v>27</v>
      </c>
      <c r="J11" s="86">
        <f t="shared" si="1"/>
        <v>0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3.5" customHeight="1" x14ac:dyDescent="0.15">
      <c r="A12" s="73"/>
      <c r="B12" s="78">
        <f>COA!B9</f>
        <v>1105</v>
      </c>
      <c r="C12" s="64" t="str">
        <f t="array" ref="C12">IFERROR(INDEX(Nama_Akun,MATCH(B12,KODEAKUN,0)),"")</f>
        <v>Persediaan</v>
      </c>
      <c r="D12" s="93">
        <f t="shared" si="0"/>
        <v>0</v>
      </c>
      <c r="E12" s="73"/>
      <c r="F12" s="73">
        <f t="array" ref="F12">IFERROR(INDEX(NRCLDB2,MATCH(B12,NRCLKODE,0)),"")</f>
        <v>0</v>
      </c>
      <c r="G12" s="73">
        <f t="array" ref="G12">IFERROR(INDEX(NRCLKR2,MATCH(B12,NRCLKODE,0)),"")</f>
        <v>0</v>
      </c>
      <c r="H12" s="73" t="str">
        <f t="array" ref="H12">IFERROR(INDEX(NRCLSN,MATCH(B12,NRCLKODE,0)),"")</f>
        <v>Debet</v>
      </c>
      <c r="I12" s="73" t="s">
        <v>28</v>
      </c>
      <c r="J12" s="86">
        <f t="shared" si="1"/>
        <v>0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3.5" customHeight="1" x14ac:dyDescent="0.15">
      <c r="A13" s="73"/>
      <c r="B13" s="78">
        <f>COA!B10</f>
        <v>1106</v>
      </c>
      <c r="C13" s="64" t="str">
        <f t="array" ref="C13">IFERROR(INDEX(Nama_Akun,MATCH(B13,KODEAKUN,0)),"")</f>
        <v>Perlengkapan</v>
      </c>
      <c r="D13" s="93">
        <f t="shared" si="0"/>
        <v>0</v>
      </c>
      <c r="E13" s="73"/>
      <c r="F13" s="73">
        <f t="array" ref="F13">IFERROR(INDEX(NRCLDB2,MATCH(B13,NRCLKODE,0)),"")</f>
        <v>0</v>
      </c>
      <c r="G13" s="73">
        <f t="array" ref="G13">IFERROR(INDEX(NRCLKR2,MATCH(B13,NRCLKODE,0)),"")</f>
        <v>0</v>
      </c>
      <c r="H13" s="73" t="str">
        <f t="array" ref="H13">IFERROR(INDEX(NRCLSN,MATCH(B13,NRCLKODE,0)),"")</f>
        <v>Debet</v>
      </c>
      <c r="I13" s="73" t="s">
        <v>29</v>
      </c>
      <c r="J13" s="86">
        <f t="shared" si="1"/>
        <v>0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3.5" customHeight="1" x14ac:dyDescent="0.15">
      <c r="A14" s="73"/>
      <c r="B14" s="78">
        <f>COA!B11</f>
        <v>1201</v>
      </c>
      <c r="C14" s="64" t="str">
        <f t="array" ref="C14">IFERROR(INDEX(Nama_Akun,MATCH(B14,KODEAKUN,0)),"")</f>
        <v>Peralatan</v>
      </c>
      <c r="D14" s="93">
        <f t="shared" si="0"/>
        <v>-515685</v>
      </c>
      <c r="E14" s="73"/>
      <c r="F14" s="73">
        <f t="array" ref="F14">IFERROR(INDEX(NRCLDB2,MATCH(B14,NRCLKODE,0)),"")</f>
        <v>-515685</v>
      </c>
      <c r="G14" s="73">
        <f t="array" ref="G14">IFERROR(INDEX(NRCLKR2,MATCH(B14,NRCLKODE,0)),"")</f>
        <v>0</v>
      </c>
      <c r="H14" s="73" t="str">
        <f t="array" ref="H14">IFERROR(INDEX(NRCLSN,MATCH(B14,NRCLKODE,0)),"")</f>
        <v>Debet</v>
      </c>
      <c r="I14" s="73" t="s">
        <v>30</v>
      </c>
      <c r="J14" s="86">
        <f t="shared" si="1"/>
        <v>-515685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6.5" customHeight="1" x14ac:dyDescent="0.15">
      <c r="A15" s="73"/>
      <c r="B15" s="78">
        <f>COA!B12</f>
        <v>1202</v>
      </c>
      <c r="C15" s="64" t="str">
        <f t="array" ref="C15">IFERROR(INDEX(Nama_Akun,MATCH(B15,KODEAKUN,0)),"")</f>
        <v>Akumulasi Penyusutan Peralatan</v>
      </c>
      <c r="D15" s="93">
        <f t="shared" si="0"/>
        <v>0</v>
      </c>
      <c r="E15" s="73"/>
      <c r="F15" s="73">
        <f t="array" ref="F15">IFERROR(INDEX(NRCLDB2,MATCH(B15,NRCLKODE,0)),"")</f>
        <v>0</v>
      </c>
      <c r="G15" s="73">
        <f t="array" ref="G15">IFERROR(INDEX(NRCLKR2,MATCH(B15,NRCLKODE,0)),"")</f>
        <v>0</v>
      </c>
      <c r="H15" s="73" t="str">
        <f t="array" ref="H15">IFERROR(INDEX(NRCLSN,MATCH(B15,NRCLKODE,0)),"")</f>
        <v>Kredit</v>
      </c>
      <c r="I15" s="73" t="s">
        <v>31</v>
      </c>
      <c r="J15" s="86">
        <f t="shared" si="1"/>
        <v>0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1.25" customHeight="1" x14ac:dyDescent="0.15">
      <c r="A16" s="73"/>
      <c r="B16" s="87" t="s">
        <v>98</v>
      </c>
      <c r="C16" s="94"/>
      <c r="D16" s="89">
        <f>SUM(D8:D15)</f>
        <v>-515685</v>
      </c>
      <c r="E16" s="73"/>
      <c r="F16" s="73" t="str">
        <f t="array" ref="F16">IFERROR(INDEX(NRCLDB2,MATCH(B16,NRCLKODE,0)),"")</f>
        <v/>
      </c>
      <c r="G16" s="73" t="str">
        <f t="array" ref="G16">IFERROR(INDEX(NRCLKR2,MATCH(B16,NRCLKODE,0)),"")</f>
        <v/>
      </c>
      <c r="H16" s="73" t="str">
        <f t="array" ref="H16">IFERROR(INDEX(NRCLSN,MATCH(B16,NRCLKODE,0)),"")</f>
        <v/>
      </c>
      <c r="I16" s="73"/>
      <c r="J16" s="86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3.5" customHeight="1" x14ac:dyDescent="0.15">
      <c r="A17" s="95"/>
      <c r="B17" s="78"/>
      <c r="C17" s="73"/>
      <c r="D17" s="93"/>
      <c r="E17" s="73"/>
      <c r="F17" s="73" t="str">
        <f t="array" ref="F17">IFERROR(INDEX(NRCLDB2,MATCH(B17,NRCLKODE,0)),"")</f>
        <v/>
      </c>
      <c r="G17" s="73" t="str">
        <f t="array" ref="G17">IFERROR(INDEX(NRCLKR2,MATCH(B17,NRCLKODE,0)),"")</f>
        <v/>
      </c>
      <c r="H17" s="73" t="str">
        <f t="array" ref="H17">IFERROR(INDEX(NRCLSN,MATCH(B17,NRCLKODE,0)),"")</f>
        <v/>
      </c>
      <c r="I17" s="73"/>
      <c r="J17" s="86">
        <f t="shared" ref="J17:J21" si="2">D17</f>
        <v>0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3.5" customHeight="1" x14ac:dyDescent="0.15">
      <c r="A18" s="73"/>
      <c r="B18" s="87" t="s">
        <v>99</v>
      </c>
      <c r="C18" s="94"/>
      <c r="D18" s="96" t="str">
        <f t="shared" ref="D18:D19" si="3">IFERROR(IF(H18="Debet",F18-G18,G18-F18),"")</f>
        <v/>
      </c>
      <c r="E18" s="73"/>
      <c r="F18" s="73" t="str">
        <f t="array" ref="F18">IFERROR(INDEX(NRCLDB2,MATCH(B18,NRCLKODE,0)),"")</f>
        <v/>
      </c>
      <c r="G18" s="73" t="str">
        <f t="array" ref="G18">IFERROR(INDEX(NRCLKR2,MATCH(B18,NRCLKODE,0)),"")</f>
        <v/>
      </c>
      <c r="H18" s="73" t="str">
        <f t="array" ref="H18">IFERROR(INDEX(NRCLSN,MATCH(B18,NRCLKODE,0)),"")</f>
        <v/>
      </c>
      <c r="I18" s="73"/>
      <c r="J18" s="86" t="str">
        <f t="shared" si="2"/>
        <v/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3.5" customHeight="1" x14ac:dyDescent="0.15">
      <c r="A19" s="73"/>
      <c r="B19" s="78">
        <f>COA!B13</f>
        <v>2110</v>
      </c>
      <c r="C19" s="64" t="str">
        <f t="array" ref="C19">IFERROR(INDEX(Nama_Akun,MATCH(B19,KODEAKUN,0)),"")</f>
        <v>Utang</v>
      </c>
      <c r="D19" s="93">
        <f t="shared" si="3"/>
        <v>0</v>
      </c>
      <c r="E19" s="73"/>
      <c r="F19" s="73">
        <f t="array" ref="F19">IFERROR(INDEX(NRCLDB2,MATCH(B19,NRCLKODE,0)),"")</f>
        <v>0</v>
      </c>
      <c r="G19" s="73">
        <f t="array" ref="G19">IFERROR(INDEX(NRCLKR2,MATCH(B19,NRCLKODE,0)),"")</f>
        <v>0</v>
      </c>
      <c r="H19" s="73" t="str">
        <f t="array" ref="H19">IFERROR(INDEX(NRCLSN,MATCH(B19,NRCLKODE,0)),"")</f>
        <v>Kredit</v>
      </c>
      <c r="I19" s="73" t="s">
        <v>33</v>
      </c>
      <c r="J19" s="86">
        <f t="shared" si="2"/>
        <v>0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3.5" customHeight="1" x14ac:dyDescent="0.15">
      <c r="A20" s="73"/>
      <c r="B20" s="78">
        <f>COA!B14</f>
        <v>2120</v>
      </c>
      <c r="C20" s="64" t="str">
        <f t="array" ref="C20">IFERROR(INDEX(Nama_Akun,MATCH(B20,KODEAKUN,0)),"")</f>
        <v>Utang Gaji</v>
      </c>
      <c r="D20" s="93">
        <f>IFERROR(IF(H20="kredit",F20-G20,G20-F20),"")</f>
        <v>-105901167</v>
      </c>
      <c r="E20" s="73"/>
      <c r="F20" s="73">
        <f t="array" ref="F20">IFERROR(INDEX(NRCLDB2,MATCH(B20,NRCLKODE,0)),"")</f>
        <v>0</v>
      </c>
      <c r="G20" s="73">
        <f t="array" ref="G20">IFERROR(INDEX(NRCLKR2,MATCH(B20,NRCLKODE,0)),"")</f>
        <v>105901167</v>
      </c>
      <c r="H20" s="73" t="str">
        <f t="array" ref="H20">IFERROR(INDEX(NRCLSN,MATCH(B20,NRCLKODE,0)),"")</f>
        <v>Kredit</v>
      </c>
      <c r="I20" s="73"/>
      <c r="J20" s="86">
        <f t="shared" si="2"/>
        <v>-105901167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3.5" customHeight="1" x14ac:dyDescent="0.15">
      <c r="A21" s="73"/>
      <c r="B21" s="92" t="s">
        <v>100</v>
      </c>
      <c r="C21" s="73"/>
      <c r="D21" s="97">
        <f>SUM(D19:D20)</f>
        <v>-105901167</v>
      </c>
      <c r="E21" s="73"/>
      <c r="F21" s="73" t="str">
        <f t="array" ref="F21">IFERROR(INDEX(NRCLDB2,MATCH(B21,NRCLKODE,0)),"")</f>
        <v/>
      </c>
      <c r="G21" s="73" t="str">
        <f t="array" ref="G21">IFERROR(INDEX(NRCLKR2,MATCH(B22,NRCLKODE,0)),"")</f>
        <v/>
      </c>
      <c r="H21" s="73" t="str">
        <f t="array" ref="H21">IFERROR(INDEX(NRCLSN,MATCH(B22,NRCLKODE,0)),"")</f>
        <v/>
      </c>
      <c r="I21" s="73"/>
      <c r="J21" s="86">
        <f t="shared" si="2"/>
        <v>-105901167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3.5" customHeight="1" x14ac:dyDescent="0.15">
      <c r="A22" s="73"/>
      <c r="B22" s="78"/>
      <c r="C22" s="73"/>
      <c r="D22" s="93"/>
      <c r="E22" s="73"/>
      <c r="F22" s="73"/>
      <c r="G22" s="73"/>
      <c r="H22" s="73"/>
      <c r="I22" s="73"/>
      <c r="J22" s="86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3.5" customHeight="1" x14ac:dyDescent="0.15">
      <c r="A23" s="73"/>
      <c r="B23" s="92" t="s">
        <v>101</v>
      </c>
      <c r="C23" s="73"/>
      <c r="D23" s="93" t="str">
        <f>IFERROR(IF(H23="Debet",F23-G23,G23-F23),"")</f>
        <v/>
      </c>
      <c r="E23" s="73"/>
      <c r="F23" s="73" t="str">
        <f t="array" ref="F23">IFERROR(INDEX(NRCLDB2,MATCH(B23,NRCLKODE,0)),"")</f>
        <v/>
      </c>
      <c r="G23" s="73" t="str">
        <f t="array" ref="G23">IFERROR(INDEX(NRCLKR2,MATCH(B23,NRCLKODE,0)),"")</f>
        <v/>
      </c>
      <c r="H23" s="73" t="str">
        <f t="array" ref="H23">IFERROR(INDEX(NRCLSN,MATCH(B23,NRCLKODE,0)),"")</f>
        <v/>
      </c>
      <c r="I23" s="73"/>
      <c r="J23" s="86" t="str">
        <f t="shared" ref="J23:J24" si="4">D23</f>
        <v/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2.75" customHeight="1" x14ac:dyDescent="0.15">
      <c r="A24" s="73"/>
      <c r="B24" s="78">
        <f>COA!B15</f>
        <v>2130</v>
      </c>
      <c r="C24" s="64" t="str">
        <f t="array" ref="C24">IFERROR(INDEX(Nama_Akun,MATCH(B24,KODEAKUN,0)),"")</f>
        <v>utang pajak</v>
      </c>
      <c r="D24" s="93" t="e">
        <f>LPE!F10</f>
        <v>#N/A</v>
      </c>
      <c r="E24" s="73"/>
      <c r="F24" s="73">
        <f t="array" ref="F24">IFERROR(INDEX(NRCLDB2,MATCH(B24,NRCLKODE,0)),"")</f>
        <v>0</v>
      </c>
      <c r="G24" s="73">
        <f t="array" ref="G24">IFERROR(INDEX(NRCLKR2,MATCH(B24,NRCLKODE,0)),"")</f>
        <v>0</v>
      </c>
      <c r="H24" s="73" t="str">
        <f t="array" ref="H24">IFERROR(INDEX(NRCLSN,MATCH(B24,NRCLKODE,0)),"")</f>
        <v>Kredit</v>
      </c>
      <c r="I24" s="73" t="s">
        <v>36</v>
      </c>
      <c r="J24" s="86" t="e">
        <f t="shared" si="4"/>
        <v>#N/A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8" customHeight="1" x14ac:dyDescent="0.15">
      <c r="A25" s="73"/>
      <c r="B25" s="87" t="s">
        <v>102</v>
      </c>
      <c r="C25" s="94"/>
      <c r="D25" s="89" t="e">
        <f>SUM(D24)</f>
        <v>#N/A</v>
      </c>
      <c r="E25" s="73"/>
      <c r="F25" s="73" t="str">
        <f t="array" ref="F25">IFERROR(INDEX(NRCLDB2,MATCH(B25,NRCLKODE,0)),"")</f>
        <v/>
      </c>
      <c r="G25" s="73" t="str">
        <f t="array" ref="G25">IFERROR(INDEX(NRCLKR2,MATCH(B25,NRCLKODE,0)),"")</f>
        <v/>
      </c>
      <c r="H25" s="73" t="str">
        <f t="array" ref="H25">IFERROR(INDEX(NRCLSN,MATCH(B25,NRCLKODE,0)),"")</f>
        <v/>
      </c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3.5" customHeight="1" x14ac:dyDescent="0.15">
      <c r="A26" s="73"/>
      <c r="B26" s="98"/>
      <c r="C26" s="99"/>
      <c r="D26" s="100"/>
      <c r="E26" s="73"/>
      <c r="F26" s="73" t="str">
        <f t="array" ref="F26">IFERROR(INDEX(NRCLDB2,MATCH(B26,NRCLKODE,0)),"")</f>
        <v/>
      </c>
      <c r="G26" s="73" t="str">
        <f t="array" ref="G26">IFERROR(INDEX(NRCLKR2,MATCH(B26,NRCLKODE,0)),"")</f>
        <v/>
      </c>
      <c r="H26" s="73" t="str">
        <f t="array" ref="H26">IFERROR(INDEX(NRCLSN,MATCH(B26,NRCLKODE,0)),"")</f>
        <v/>
      </c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3.5" customHeight="1" x14ac:dyDescent="0.15">
      <c r="A27" s="73"/>
      <c r="B27" s="87" t="s">
        <v>103</v>
      </c>
      <c r="C27" s="94"/>
      <c r="D27" s="89" t="e">
        <f>D21+D25</f>
        <v>#N/A</v>
      </c>
      <c r="E27" s="73"/>
      <c r="F27" s="73" t="str">
        <f t="array" ref="F27">IFERROR(INDEX(NRCLDB2,MATCH(B27,NRCLKODE,0)),"")</f>
        <v/>
      </c>
      <c r="G27" s="73" t="str">
        <f t="array" ref="G27">IFERROR(INDEX(NRCLKR2,MATCH(B27,NRCLKODE,0)),"")</f>
        <v/>
      </c>
      <c r="H27" s="73" t="str">
        <f t="array" ref="H27">IFERROR(INDEX(NRCLSN,MATCH(B27,NRCLKODE,0)),"")</f>
        <v/>
      </c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3.5" customHeight="1" x14ac:dyDescent="0.15">
      <c r="A28" s="73"/>
      <c r="B28" s="73"/>
      <c r="C28" s="73"/>
      <c r="D28" s="86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3.5" customHeight="1" x14ac:dyDescent="0.15">
      <c r="A29" s="73"/>
      <c r="B29" s="73"/>
      <c r="C29" s="73"/>
      <c r="D29" s="86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3.5" customHeight="1" x14ac:dyDescent="0.15">
      <c r="A30" s="73"/>
      <c r="B30" s="73"/>
      <c r="C30" s="73"/>
      <c r="D30" s="86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3.5" customHeight="1" x14ac:dyDescent="0.15">
      <c r="A31" s="73"/>
      <c r="B31" s="73"/>
      <c r="C31" s="73"/>
      <c r="D31" s="86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3.5" customHeight="1" x14ac:dyDescent="0.15">
      <c r="A32" s="73"/>
      <c r="B32" s="73"/>
      <c r="C32" s="73"/>
      <c r="D32" s="86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3.5" customHeight="1" x14ac:dyDescent="0.15">
      <c r="A33" s="73"/>
      <c r="B33" s="73"/>
      <c r="C33" s="73"/>
      <c r="D33" s="86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3.5" customHeight="1" x14ac:dyDescent="0.15">
      <c r="A34" s="73"/>
      <c r="B34" s="73"/>
      <c r="C34" s="73"/>
      <c r="D34" s="86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3.5" customHeight="1" x14ac:dyDescent="0.15">
      <c r="A35" s="73"/>
      <c r="B35" s="73"/>
      <c r="C35" s="73"/>
      <c r="D35" s="86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3.5" customHeight="1" x14ac:dyDescent="0.15">
      <c r="A36" s="73"/>
      <c r="B36" s="73"/>
      <c r="C36" s="73"/>
      <c r="D36" s="86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3.5" customHeight="1" x14ac:dyDescent="0.15">
      <c r="A37" s="73"/>
      <c r="B37" s="73"/>
      <c r="C37" s="73"/>
      <c r="D37" s="86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3.5" customHeight="1" x14ac:dyDescent="0.15">
      <c r="A38" s="73"/>
      <c r="B38" s="73"/>
      <c r="C38" s="73"/>
      <c r="D38" s="86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3.5" customHeight="1" x14ac:dyDescent="0.15">
      <c r="A39" s="73"/>
      <c r="B39" s="73"/>
      <c r="C39" s="73"/>
      <c r="D39" s="86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3.5" customHeight="1" x14ac:dyDescent="0.15">
      <c r="A40" s="73"/>
      <c r="B40" s="73"/>
      <c r="C40" s="73"/>
      <c r="D40" s="86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3.5" customHeight="1" x14ac:dyDescent="0.15">
      <c r="A41" s="73"/>
      <c r="B41" s="73"/>
      <c r="C41" s="73"/>
      <c r="D41" s="86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3.5" customHeight="1" x14ac:dyDescent="0.15">
      <c r="A42" s="73"/>
      <c r="B42" s="73"/>
      <c r="C42" s="73"/>
      <c r="D42" s="86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3.5" customHeight="1" x14ac:dyDescent="0.15">
      <c r="A43" s="73"/>
      <c r="B43" s="73"/>
      <c r="C43" s="73"/>
      <c r="D43" s="86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3.5" customHeight="1" x14ac:dyDescent="0.15">
      <c r="A44" s="73"/>
      <c r="B44" s="73"/>
      <c r="C44" s="73"/>
      <c r="D44" s="86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3.5" customHeight="1" x14ac:dyDescent="0.15">
      <c r="A45" s="73"/>
      <c r="B45" s="73"/>
      <c r="C45" s="73"/>
      <c r="D45" s="86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3.5" customHeight="1" x14ac:dyDescent="0.15">
      <c r="A46" s="73"/>
      <c r="B46" s="73"/>
      <c r="C46" s="73"/>
      <c r="D46" s="86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3.5" customHeight="1" x14ac:dyDescent="0.15">
      <c r="A47" s="73"/>
      <c r="B47" s="73"/>
      <c r="C47" s="73"/>
      <c r="D47" s="86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3.5" customHeight="1" x14ac:dyDescent="0.15">
      <c r="A48" s="73"/>
      <c r="B48" s="73"/>
      <c r="C48" s="73"/>
      <c r="D48" s="86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3.5" customHeight="1" x14ac:dyDescent="0.15">
      <c r="A49" s="73"/>
      <c r="B49" s="73"/>
      <c r="C49" s="73"/>
      <c r="D49" s="86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3.5" customHeight="1" x14ac:dyDescent="0.15">
      <c r="A50" s="73"/>
      <c r="B50" s="73"/>
      <c r="C50" s="73"/>
      <c r="D50" s="86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3.5" customHeight="1" x14ac:dyDescent="0.15">
      <c r="A51" s="73"/>
      <c r="B51" s="73"/>
      <c r="C51" s="73"/>
      <c r="D51" s="86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3.5" customHeight="1" x14ac:dyDescent="0.15">
      <c r="A52" s="73"/>
      <c r="B52" s="73"/>
      <c r="C52" s="73"/>
      <c r="D52" s="86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3.5" customHeight="1" x14ac:dyDescent="0.15">
      <c r="A53" s="73"/>
      <c r="B53" s="73"/>
      <c r="C53" s="73"/>
      <c r="D53" s="86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3.5" customHeight="1" x14ac:dyDescent="0.15">
      <c r="A54" s="73"/>
      <c r="B54" s="73"/>
      <c r="C54" s="73"/>
      <c r="D54" s="86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3.5" customHeight="1" x14ac:dyDescent="0.15">
      <c r="A55" s="73"/>
      <c r="B55" s="73"/>
      <c r="C55" s="73"/>
      <c r="D55" s="86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3.5" customHeight="1" x14ac:dyDescent="0.15">
      <c r="A56" s="73"/>
      <c r="B56" s="73"/>
      <c r="C56" s="73"/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3.5" customHeight="1" x14ac:dyDescent="0.15">
      <c r="A57" s="73"/>
      <c r="B57" s="73"/>
      <c r="C57" s="73"/>
      <c r="D57" s="86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3.5" customHeight="1" x14ac:dyDescent="0.15">
      <c r="A58" s="73"/>
      <c r="B58" s="73"/>
      <c r="C58" s="73"/>
      <c r="D58" s="86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3.5" customHeight="1" x14ac:dyDescent="0.15">
      <c r="A59" s="73"/>
      <c r="B59" s="73"/>
      <c r="C59" s="73"/>
      <c r="D59" s="86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3.5" customHeight="1" x14ac:dyDescent="0.15">
      <c r="A60" s="73"/>
      <c r="B60" s="73"/>
      <c r="C60" s="73"/>
      <c r="D60" s="86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3.5" customHeight="1" x14ac:dyDescent="0.15">
      <c r="A61" s="73"/>
      <c r="B61" s="73"/>
      <c r="C61" s="73"/>
      <c r="D61" s="86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3.5" customHeight="1" x14ac:dyDescent="0.15">
      <c r="A62" s="73"/>
      <c r="B62" s="73"/>
      <c r="C62" s="73"/>
      <c r="D62" s="86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3.5" customHeight="1" x14ac:dyDescent="0.15">
      <c r="A63" s="73"/>
      <c r="B63" s="73"/>
      <c r="C63" s="73"/>
      <c r="D63" s="86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3.5" customHeight="1" x14ac:dyDescent="0.15">
      <c r="A64" s="73"/>
      <c r="B64" s="73"/>
      <c r="C64" s="73"/>
      <c r="D64" s="86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3.5" customHeight="1" x14ac:dyDescent="0.15">
      <c r="A65" s="73"/>
      <c r="B65" s="73"/>
      <c r="C65" s="73"/>
      <c r="D65" s="86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3.5" customHeight="1" x14ac:dyDescent="0.15">
      <c r="A66" s="73"/>
      <c r="B66" s="73"/>
      <c r="C66" s="73"/>
      <c r="D66" s="86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3.5" customHeight="1" x14ac:dyDescent="0.15">
      <c r="A67" s="73"/>
      <c r="B67" s="73"/>
      <c r="C67" s="73"/>
      <c r="D67" s="86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3.5" customHeight="1" x14ac:dyDescent="0.15">
      <c r="A68" s="73"/>
      <c r="B68" s="73"/>
      <c r="C68" s="73"/>
      <c r="D68" s="86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3.5" customHeight="1" x14ac:dyDescent="0.15">
      <c r="A69" s="73"/>
      <c r="B69" s="73"/>
      <c r="C69" s="73"/>
      <c r="D69" s="86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3.5" customHeight="1" x14ac:dyDescent="0.15">
      <c r="A70" s="73"/>
      <c r="B70" s="73"/>
      <c r="C70" s="73"/>
      <c r="D70" s="86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3.5" customHeight="1" x14ac:dyDescent="0.15">
      <c r="A71" s="73"/>
      <c r="B71" s="73"/>
      <c r="C71" s="73"/>
      <c r="D71" s="86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3.5" customHeight="1" x14ac:dyDescent="0.15">
      <c r="A72" s="73"/>
      <c r="B72" s="73"/>
      <c r="C72" s="73"/>
      <c r="D72" s="86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3.5" customHeight="1" x14ac:dyDescent="0.15">
      <c r="A73" s="73"/>
      <c r="B73" s="73"/>
      <c r="C73" s="73"/>
      <c r="D73" s="86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3.5" customHeight="1" x14ac:dyDescent="0.15">
      <c r="A74" s="73"/>
      <c r="B74" s="73"/>
      <c r="C74" s="73"/>
      <c r="D74" s="86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3.5" customHeight="1" x14ac:dyDescent="0.15">
      <c r="A75" s="73"/>
      <c r="B75" s="73"/>
      <c r="C75" s="73"/>
      <c r="D75" s="86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3.5" customHeight="1" x14ac:dyDescent="0.15">
      <c r="A76" s="73"/>
      <c r="B76" s="73"/>
      <c r="C76" s="73"/>
      <c r="D76" s="86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3.5" customHeight="1" x14ac:dyDescent="0.15">
      <c r="A77" s="73"/>
      <c r="B77" s="73"/>
      <c r="C77" s="73"/>
      <c r="D77" s="86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3.5" customHeight="1" x14ac:dyDescent="0.15">
      <c r="A78" s="73"/>
      <c r="B78" s="73"/>
      <c r="C78" s="73"/>
      <c r="D78" s="86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3.5" customHeight="1" x14ac:dyDescent="0.15">
      <c r="A79" s="73"/>
      <c r="B79" s="73"/>
      <c r="C79" s="73"/>
      <c r="D79" s="86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3.5" customHeight="1" x14ac:dyDescent="0.15">
      <c r="A80" s="73"/>
      <c r="B80" s="73"/>
      <c r="C80" s="73"/>
      <c r="D80" s="86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3.5" customHeight="1" x14ac:dyDescent="0.15">
      <c r="A81" s="73"/>
      <c r="B81" s="73"/>
      <c r="C81" s="73"/>
      <c r="D81" s="86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3.5" customHeight="1" x14ac:dyDescent="0.15">
      <c r="A82" s="73"/>
      <c r="B82" s="73"/>
      <c r="C82" s="73"/>
      <c r="D82" s="86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3.5" customHeight="1" x14ac:dyDescent="0.15">
      <c r="A83" s="73"/>
      <c r="B83" s="73"/>
      <c r="C83" s="73"/>
      <c r="D83" s="86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3.5" customHeight="1" x14ac:dyDescent="0.15">
      <c r="A84" s="73"/>
      <c r="B84" s="73"/>
      <c r="C84" s="73"/>
      <c r="D84" s="86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3.5" customHeight="1" x14ac:dyDescent="0.15">
      <c r="A85" s="73"/>
      <c r="B85" s="73"/>
      <c r="C85" s="73"/>
      <c r="D85" s="86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3.5" customHeight="1" x14ac:dyDescent="0.15">
      <c r="A86" s="73"/>
      <c r="B86" s="73"/>
      <c r="C86" s="73"/>
      <c r="D86" s="86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3.5" customHeight="1" x14ac:dyDescent="0.15">
      <c r="A87" s="73"/>
      <c r="B87" s="73"/>
      <c r="C87" s="73"/>
      <c r="D87" s="86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3.5" customHeight="1" x14ac:dyDescent="0.15">
      <c r="A88" s="73"/>
      <c r="B88" s="73"/>
      <c r="C88" s="73"/>
      <c r="D88" s="86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3.5" customHeight="1" x14ac:dyDescent="0.15">
      <c r="A89" s="73"/>
      <c r="B89" s="73"/>
      <c r="C89" s="73"/>
      <c r="D89" s="86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3.5" customHeight="1" x14ac:dyDescent="0.15">
      <c r="A90" s="73"/>
      <c r="B90" s="73"/>
      <c r="C90" s="73"/>
      <c r="D90" s="86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3.5" customHeight="1" x14ac:dyDescent="0.15">
      <c r="A91" s="73"/>
      <c r="B91" s="73"/>
      <c r="C91" s="73"/>
      <c r="D91" s="86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3.5" customHeight="1" x14ac:dyDescent="0.15">
      <c r="A92" s="73"/>
      <c r="B92" s="73"/>
      <c r="C92" s="73"/>
      <c r="D92" s="86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3.5" customHeight="1" x14ac:dyDescent="0.15">
      <c r="A93" s="73"/>
      <c r="B93" s="73"/>
      <c r="C93" s="73"/>
      <c r="D93" s="86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3.5" customHeight="1" x14ac:dyDescent="0.15">
      <c r="A94" s="73"/>
      <c r="B94" s="73"/>
      <c r="C94" s="73"/>
      <c r="D94" s="86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3.5" customHeight="1" x14ac:dyDescent="0.15">
      <c r="A95" s="73"/>
      <c r="B95" s="73"/>
      <c r="C95" s="73"/>
      <c r="D95" s="86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3.5" customHeight="1" x14ac:dyDescent="0.15">
      <c r="A96" s="73"/>
      <c r="B96" s="73"/>
      <c r="C96" s="73"/>
      <c r="D96" s="86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3.5" customHeight="1" x14ac:dyDescent="0.15">
      <c r="A97" s="73"/>
      <c r="B97" s="73"/>
      <c r="C97" s="73"/>
      <c r="D97" s="86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3.5" customHeight="1" x14ac:dyDescent="0.15">
      <c r="A98" s="73"/>
      <c r="B98" s="73"/>
      <c r="C98" s="73"/>
      <c r="D98" s="86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3.5" customHeight="1" x14ac:dyDescent="0.15">
      <c r="A99" s="73"/>
      <c r="B99" s="73"/>
      <c r="C99" s="73"/>
      <c r="D99" s="86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3.5" customHeight="1" x14ac:dyDescent="0.15">
      <c r="A100" s="73"/>
      <c r="B100" s="73"/>
      <c r="C100" s="73"/>
      <c r="D100" s="86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3.5" customHeight="1" x14ac:dyDescent="0.15">
      <c r="A101" s="73"/>
      <c r="B101" s="73"/>
      <c r="C101" s="73"/>
      <c r="D101" s="86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3.5" customHeight="1" x14ac:dyDescent="0.15">
      <c r="A102" s="73"/>
      <c r="B102" s="73"/>
      <c r="C102" s="73"/>
      <c r="D102" s="86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3.5" customHeight="1" x14ac:dyDescent="0.15">
      <c r="A103" s="73"/>
      <c r="B103" s="73"/>
      <c r="C103" s="73"/>
      <c r="D103" s="86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3.5" customHeight="1" x14ac:dyDescent="0.15">
      <c r="A104" s="73"/>
      <c r="B104" s="73"/>
      <c r="C104" s="73"/>
      <c r="D104" s="86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3.5" customHeight="1" x14ac:dyDescent="0.15">
      <c r="A105" s="73"/>
      <c r="B105" s="73"/>
      <c r="C105" s="73"/>
      <c r="D105" s="86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3.5" customHeight="1" x14ac:dyDescent="0.15">
      <c r="A106" s="73"/>
      <c r="B106" s="73"/>
      <c r="C106" s="73"/>
      <c r="D106" s="86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3.5" customHeight="1" x14ac:dyDescent="0.15">
      <c r="A107" s="73"/>
      <c r="B107" s="73"/>
      <c r="C107" s="73"/>
      <c r="D107" s="86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3.5" customHeight="1" x14ac:dyDescent="0.15">
      <c r="A108" s="73"/>
      <c r="B108" s="73"/>
      <c r="C108" s="73"/>
      <c r="D108" s="86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3.5" customHeight="1" x14ac:dyDescent="0.15">
      <c r="A109" s="73"/>
      <c r="B109" s="73"/>
      <c r="C109" s="73"/>
      <c r="D109" s="86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3.5" customHeight="1" x14ac:dyDescent="0.15">
      <c r="A110" s="73"/>
      <c r="B110" s="73"/>
      <c r="C110" s="73"/>
      <c r="D110" s="86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3.5" customHeight="1" x14ac:dyDescent="0.15">
      <c r="A111" s="73"/>
      <c r="B111" s="73"/>
      <c r="C111" s="73"/>
      <c r="D111" s="86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3.5" customHeight="1" x14ac:dyDescent="0.15">
      <c r="A112" s="73"/>
      <c r="B112" s="73"/>
      <c r="C112" s="73"/>
      <c r="D112" s="86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3.5" customHeight="1" x14ac:dyDescent="0.15">
      <c r="A113" s="73"/>
      <c r="B113" s="73"/>
      <c r="C113" s="73"/>
      <c r="D113" s="86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3.5" customHeight="1" x14ac:dyDescent="0.15">
      <c r="A114" s="73"/>
      <c r="B114" s="73"/>
      <c r="C114" s="73"/>
      <c r="D114" s="86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3.5" customHeight="1" x14ac:dyDescent="0.15">
      <c r="A115" s="73"/>
      <c r="B115" s="73"/>
      <c r="C115" s="73"/>
      <c r="D115" s="86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3.5" customHeight="1" x14ac:dyDescent="0.15">
      <c r="A116" s="73"/>
      <c r="B116" s="73"/>
      <c r="C116" s="73"/>
      <c r="D116" s="86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3.5" customHeight="1" x14ac:dyDescent="0.15">
      <c r="A117" s="73"/>
      <c r="B117" s="73"/>
      <c r="C117" s="73"/>
      <c r="D117" s="86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3.5" customHeight="1" x14ac:dyDescent="0.15">
      <c r="A118" s="73"/>
      <c r="B118" s="73"/>
      <c r="C118" s="73"/>
      <c r="D118" s="86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3.5" customHeight="1" x14ac:dyDescent="0.15">
      <c r="A119" s="73"/>
      <c r="B119" s="73"/>
      <c r="C119" s="73"/>
      <c r="D119" s="86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3.5" customHeight="1" x14ac:dyDescent="0.15">
      <c r="A120" s="73"/>
      <c r="B120" s="73"/>
      <c r="C120" s="73"/>
      <c r="D120" s="86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3.5" customHeight="1" x14ac:dyDescent="0.15">
      <c r="A121" s="73"/>
      <c r="B121" s="73"/>
      <c r="C121" s="73"/>
      <c r="D121" s="86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3.5" customHeight="1" x14ac:dyDescent="0.15">
      <c r="A122" s="73"/>
      <c r="B122" s="73"/>
      <c r="C122" s="73"/>
      <c r="D122" s="86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3.5" customHeight="1" x14ac:dyDescent="0.15">
      <c r="A123" s="73"/>
      <c r="B123" s="73"/>
      <c r="C123" s="73"/>
      <c r="D123" s="86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3.5" customHeight="1" x14ac:dyDescent="0.15">
      <c r="A124" s="73"/>
      <c r="B124" s="73"/>
      <c r="C124" s="73"/>
      <c r="D124" s="86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3.5" customHeight="1" x14ac:dyDescent="0.15">
      <c r="A125" s="73"/>
      <c r="B125" s="73"/>
      <c r="C125" s="73"/>
      <c r="D125" s="86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3.5" customHeight="1" x14ac:dyDescent="0.15">
      <c r="A126" s="73"/>
      <c r="B126" s="73"/>
      <c r="C126" s="73"/>
      <c r="D126" s="86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3.5" customHeight="1" x14ac:dyDescent="0.15">
      <c r="A127" s="73"/>
      <c r="B127" s="73"/>
      <c r="C127" s="73"/>
      <c r="D127" s="86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3.5" customHeight="1" x14ac:dyDescent="0.15">
      <c r="A128" s="73"/>
      <c r="B128" s="73"/>
      <c r="C128" s="73"/>
      <c r="D128" s="86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3.5" customHeight="1" x14ac:dyDescent="0.15">
      <c r="A129" s="73"/>
      <c r="B129" s="73"/>
      <c r="C129" s="73"/>
      <c r="D129" s="86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3.5" customHeight="1" x14ac:dyDescent="0.15">
      <c r="A130" s="73"/>
      <c r="B130" s="73"/>
      <c r="C130" s="73"/>
      <c r="D130" s="86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3.5" customHeight="1" x14ac:dyDescent="0.15">
      <c r="A131" s="73"/>
      <c r="B131" s="73"/>
      <c r="C131" s="73"/>
      <c r="D131" s="86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3.5" customHeight="1" x14ac:dyDescent="0.15">
      <c r="A132" s="73"/>
      <c r="B132" s="73"/>
      <c r="C132" s="73"/>
      <c r="D132" s="86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3.5" customHeight="1" x14ac:dyDescent="0.15">
      <c r="A133" s="73"/>
      <c r="B133" s="73"/>
      <c r="C133" s="73"/>
      <c r="D133" s="86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3.5" customHeight="1" x14ac:dyDescent="0.15">
      <c r="A134" s="73"/>
      <c r="B134" s="73"/>
      <c r="C134" s="73"/>
      <c r="D134" s="86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3.5" customHeight="1" x14ac:dyDescent="0.15">
      <c r="A135" s="73"/>
      <c r="B135" s="73"/>
      <c r="C135" s="73"/>
      <c r="D135" s="86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3.5" customHeight="1" x14ac:dyDescent="0.15">
      <c r="A136" s="73"/>
      <c r="B136" s="73"/>
      <c r="C136" s="73"/>
      <c r="D136" s="86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3.5" customHeight="1" x14ac:dyDescent="0.15">
      <c r="A137" s="73"/>
      <c r="B137" s="73"/>
      <c r="C137" s="73"/>
      <c r="D137" s="86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3.5" customHeight="1" x14ac:dyDescent="0.15">
      <c r="A138" s="73"/>
      <c r="B138" s="73"/>
      <c r="C138" s="73"/>
      <c r="D138" s="86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3.5" customHeight="1" x14ac:dyDescent="0.15">
      <c r="A139" s="73"/>
      <c r="B139" s="73"/>
      <c r="C139" s="73"/>
      <c r="D139" s="86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3.5" customHeight="1" x14ac:dyDescent="0.15">
      <c r="A140" s="73"/>
      <c r="B140" s="73"/>
      <c r="C140" s="73"/>
      <c r="D140" s="86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3.5" customHeight="1" x14ac:dyDescent="0.15">
      <c r="A141" s="73"/>
      <c r="B141" s="73"/>
      <c r="C141" s="73"/>
      <c r="D141" s="86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3.5" customHeight="1" x14ac:dyDescent="0.15">
      <c r="A142" s="73"/>
      <c r="B142" s="73"/>
      <c r="C142" s="73"/>
      <c r="D142" s="86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3.5" customHeight="1" x14ac:dyDescent="0.15">
      <c r="A143" s="73"/>
      <c r="B143" s="73"/>
      <c r="C143" s="73"/>
      <c r="D143" s="86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3.5" customHeight="1" x14ac:dyDescent="0.15">
      <c r="A144" s="73"/>
      <c r="B144" s="73"/>
      <c r="C144" s="73"/>
      <c r="D144" s="86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3.5" customHeight="1" x14ac:dyDescent="0.15">
      <c r="A145" s="73"/>
      <c r="B145" s="73"/>
      <c r="C145" s="73"/>
      <c r="D145" s="86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3.5" customHeight="1" x14ac:dyDescent="0.15">
      <c r="A146" s="73"/>
      <c r="B146" s="73"/>
      <c r="C146" s="73"/>
      <c r="D146" s="86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3.5" customHeight="1" x14ac:dyDescent="0.15">
      <c r="A147" s="73"/>
      <c r="B147" s="73"/>
      <c r="C147" s="73"/>
      <c r="D147" s="86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3.5" customHeight="1" x14ac:dyDescent="0.15">
      <c r="A148" s="73"/>
      <c r="B148" s="73"/>
      <c r="C148" s="73"/>
      <c r="D148" s="86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3.5" customHeight="1" x14ac:dyDescent="0.15">
      <c r="A149" s="73"/>
      <c r="B149" s="73"/>
      <c r="C149" s="73"/>
      <c r="D149" s="86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3.5" customHeight="1" x14ac:dyDescent="0.15">
      <c r="A150" s="73"/>
      <c r="B150" s="73"/>
      <c r="C150" s="73"/>
      <c r="D150" s="86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3.5" customHeight="1" x14ac:dyDescent="0.15">
      <c r="A151" s="73"/>
      <c r="B151" s="73"/>
      <c r="C151" s="73"/>
      <c r="D151" s="86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3.5" customHeight="1" x14ac:dyDescent="0.15">
      <c r="A152" s="73"/>
      <c r="B152" s="73"/>
      <c r="C152" s="73"/>
      <c r="D152" s="86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3.5" customHeight="1" x14ac:dyDescent="0.15">
      <c r="A153" s="73"/>
      <c r="B153" s="73"/>
      <c r="C153" s="73"/>
      <c r="D153" s="86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3.5" customHeight="1" x14ac:dyDescent="0.15">
      <c r="A154" s="73"/>
      <c r="B154" s="73"/>
      <c r="C154" s="73"/>
      <c r="D154" s="86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3.5" customHeight="1" x14ac:dyDescent="0.15">
      <c r="A155" s="73"/>
      <c r="B155" s="73"/>
      <c r="C155" s="73"/>
      <c r="D155" s="86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3.5" customHeight="1" x14ac:dyDescent="0.15">
      <c r="A156" s="73"/>
      <c r="B156" s="73"/>
      <c r="C156" s="73"/>
      <c r="D156" s="86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3.5" customHeight="1" x14ac:dyDescent="0.15">
      <c r="A157" s="73"/>
      <c r="B157" s="73"/>
      <c r="C157" s="73"/>
      <c r="D157" s="86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3.5" customHeight="1" x14ac:dyDescent="0.15">
      <c r="A158" s="73"/>
      <c r="B158" s="73"/>
      <c r="C158" s="73"/>
      <c r="D158" s="86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3.5" customHeight="1" x14ac:dyDescent="0.15">
      <c r="A159" s="73"/>
      <c r="B159" s="73"/>
      <c r="C159" s="73"/>
      <c r="D159" s="86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3.5" customHeight="1" x14ac:dyDescent="0.15">
      <c r="A160" s="73"/>
      <c r="B160" s="73"/>
      <c r="C160" s="73"/>
      <c r="D160" s="86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3.5" customHeight="1" x14ac:dyDescent="0.15">
      <c r="A161" s="73"/>
      <c r="B161" s="73"/>
      <c r="C161" s="73"/>
      <c r="D161" s="86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3.5" customHeight="1" x14ac:dyDescent="0.15">
      <c r="A162" s="73"/>
      <c r="B162" s="73"/>
      <c r="C162" s="73"/>
      <c r="D162" s="86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3.5" customHeight="1" x14ac:dyDescent="0.15">
      <c r="A163" s="73"/>
      <c r="B163" s="73"/>
      <c r="C163" s="73"/>
      <c r="D163" s="86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3.5" customHeight="1" x14ac:dyDescent="0.15">
      <c r="A164" s="73"/>
      <c r="B164" s="73"/>
      <c r="C164" s="73"/>
      <c r="D164" s="86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3.5" customHeight="1" x14ac:dyDescent="0.15">
      <c r="A165" s="73"/>
      <c r="B165" s="73"/>
      <c r="C165" s="73"/>
      <c r="D165" s="86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3.5" customHeight="1" x14ac:dyDescent="0.15">
      <c r="A166" s="73"/>
      <c r="B166" s="73"/>
      <c r="C166" s="73"/>
      <c r="D166" s="86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3.5" customHeight="1" x14ac:dyDescent="0.15">
      <c r="A167" s="73"/>
      <c r="B167" s="73"/>
      <c r="C167" s="73"/>
      <c r="D167" s="86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3.5" customHeight="1" x14ac:dyDescent="0.15">
      <c r="A168" s="73"/>
      <c r="B168" s="73"/>
      <c r="C168" s="73"/>
      <c r="D168" s="86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3.5" customHeight="1" x14ac:dyDescent="0.15">
      <c r="A169" s="73"/>
      <c r="B169" s="73"/>
      <c r="C169" s="73"/>
      <c r="D169" s="86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3.5" customHeight="1" x14ac:dyDescent="0.15">
      <c r="A170" s="73"/>
      <c r="B170" s="73"/>
      <c r="C170" s="73"/>
      <c r="D170" s="86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3.5" customHeight="1" x14ac:dyDescent="0.15">
      <c r="A171" s="73"/>
      <c r="B171" s="73"/>
      <c r="C171" s="73"/>
      <c r="D171" s="86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3.5" customHeight="1" x14ac:dyDescent="0.15">
      <c r="A172" s="73"/>
      <c r="B172" s="73"/>
      <c r="C172" s="73"/>
      <c r="D172" s="86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3.5" customHeight="1" x14ac:dyDescent="0.15">
      <c r="A173" s="73"/>
      <c r="B173" s="73"/>
      <c r="C173" s="73"/>
      <c r="D173" s="86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3.5" customHeight="1" x14ac:dyDescent="0.15">
      <c r="A174" s="73"/>
      <c r="B174" s="73"/>
      <c r="C174" s="73"/>
      <c r="D174" s="86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3.5" customHeight="1" x14ac:dyDescent="0.15">
      <c r="A175" s="73"/>
      <c r="B175" s="73"/>
      <c r="C175" s="73"/>
      <c r="D175" s="86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3.5" customHeight="1" x14ac:dyDescent="0.15">
      <c r="A176" s="73"/>
      <c r="B176" s="73"/>
      <c r="C176" s="73"/>
      <c r="D176" s="86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3.5" customHeight="1" x14ac:dyDescent="0.15">
      <c r="A177" s="73"/>
      <c r="B177" s="73"/>
      <c r="C177" s="73"/>
      <c r="D177" s="86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3.5" customHeight="1" x14ac:dyDescent="0.15">
      <c r="A178" s="73"/>
      <c r="B178" s="73"/>
      <c r="C178" s="73"/>
      <c r="D178" s="86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3.5" customHeight="1" x14ac:dyDescent="0.15">
      <c r="A179" s="73"/>
      <c r="B179" s="73"/>
      <c r="C179" s="73"/>
      <c r="D179" s="86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3.5" customHeight="1" x14ac:dyDescent="0.15">
      <c r="A180" s="73"/>
      <c r="B180" s="73"/>
      <c r="C180" s="73"/>
      <c r="D180" s="86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3.5" customHeight="1" x14ac:dyDescent="0.15">
      <c r="A181" s="73"/>
      <c r="B181" s="73"/>
      <c r="C181" s="73"/>
      <c r="D181" s="86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3.5" customHeight="1" x14ac:dyDescent="0.15">
      <c r="A182" s="73"/>
      <c r="B182" s="73"/>
      <c r="C182" s="73"/>
      <c r="D182" s="86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3.5" customHeight="1" x14ac:dyDescent="0.15">
      <c r="A183" s="73"/>
      <c r="B183" s="73"/>
      <c r="C183" s="73"/>
      <c r="D183" s="86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3.5" customHeight="1" x14ac:dyDescent="0.15">
      <c r="A184" s="73"/>
      <c r="B184" s="73"/>
      <c r="C184" s="73"/>
      <c r="D184" s="86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3.5" customHeight="1" x14ac:dyDescent="0.15">
      <c r="A185" s="73"/>
      <c r="B185" s="73"/>
      <c r="C185" s="73"/>
      <c r="D185" s="86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3.5" customHeight="1" x14ac:dyDescent="0.15">
      <c r="A186" s="73"/>
      <c r="B186" s="73"/>
      <c r="C186" s="73"/>
      <c r="D186" s="86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3.5" customHeight="1" x14ac:dyDescent="0.15">
      <c r="A187" s="73"/>
      <c r="B187" s="73"/>
      <c r="C187" s="73"/>
      <c r="D187" s="86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3.5" customHeight="1" x14ac:dyDescent="0.15">
      <c r="A188" s="73"/>
      <c r="B188" s="73"/>
      <c r="C188" s="73"/>
      <c r="D188" s="86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3.5" customHeight="1" x14ac:dyDescent="0.15">
      <c r="A189" s="73"/>
      <c r="B189" s="73"/>
      <c r="C189" s="73"/>
      <c r="D189" s="86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3.5" customHeight="1" x14ac:dyDescent="0.15">
      <c r="A190" s="73"/>
      <c r="B190" s="73"/>
      <c r="C190" s="73"/>
      <c r="D190" s="86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3.5" customHeight="1" x14ac:dyDescent="0.15">
      <c r="A191" s="73"/>
      <c r="B191" s="73"/>
      <c r="C191" s="73"/>
      <c r="D191" s="86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3.5" customHeight="1" x14ac:dyDescent="0.15">
      <c r="A192" s="73"/>
      <c r="B192" s="73"/>
      <c r="C192" s="73"/>
      <c r="D192" s="86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3.5" customHeight="1" x14ac:dyDescent="0.15">
      <c r="A193" s="73"/>
      <c r="B193" s="73"/>
      <c r="C193" s="73"/>
      <c r="D193" s="86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3.5" customHeight="1" x14ac:dyDescent="0.15">
      <c r="A194" s="73"/>
      <c r="B194" s="73"/>
      <c r="C194" s="73"/>
      <c r="D194" s="86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3.5" customHeight="1" x14ac:dyDescent="0.15">
      <c r="A195" s="73"/>
      <c r="B195" s="73"/>
      <c r="C195" s="73"/>
      <c r="D195" s="86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3.5" customHeight="1" x14ac:dyDescent="0.15">
      <c r="A196" s="73"/>
      <c r="B196" s="73"/>
      <c r="C196" s="73"/>
      <c r="D196" s="86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3.5" customHeight="1" x14ac:dyDescent="0.15">
      <c r="A197" s="73"/>
      <c r="B197" s="73"/>
      <c r="C197" s="73"/>
      <c r="D197" s="86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3.5" customHeight="1" x14ac:dyDescent="0.15">
      <c r="A198" s="73"/>
      <c r="B198" s="73"/>
      <c r="C198" s="73"/>
      <c r="D198" s="86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3.5" customHeight="1" x14ac:dyDescent="0.15">
      <c r="A199" s="73"/>
      <c r="B199" s="73"/>
      <c r="C199" s="73"/>
      <c r="D199" s="86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3.5" customHeight="1" x14ac:dyDescent="0.15">
      <c r="A200" s="73"/>
      <c r="B200" s="73"/>
      <c r="C200" s="73"/>
      <c r="D200" s="86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3.5" customHeight="1" x14ac:dyDescent="0.15">
      <c r="A201" s="73"/>
      <c r="B201" s="73"/>
      <c r="C201" s="73"/>
      <c r="D201" s="86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3.5" customHeight="1" x14ac:dyDescent="0.15">
      <c r="A202" s="73"/>
      <c r="B202" s="73"/>
      <c r="C202" s="73"/>
      <c r="D202" s="86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3.5" customHeight="1" x14ac:dyDescent="0.15">
      <c r="A203" s="73"/>
      <c r="B203" s="73"/>
      <c r="C203" s="73"/>
      <c r="D203" s="86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3.5" customHeight="1" x14ac:dyDescent="0.15">
      <c r="A204" s="73"/>
      <c r="B204" s="73"/>
      <c r="C204" s="73"/>
      <c r="D204" s="86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3.5" customHeight="1" x14ac:dyDescent="0.15">
      <c r="A205" s="73"/>
      <c r="B205" s="73"/>
      <c r="C205" s="73"/>
      <c r="D205" s="86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3.5" customHeight="1" x14ac:dyDescent="0.15">
      <c r="A206" s="73"/>
      <c r="B206" s="73"/>
      <c r="C206" s="73"/>
      <c r="D206" s="86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3.5" customHeight="1" x14ac:dyDescent="0.15">
      <c r="A207" s="73"/>
      <c r="B207" s="73"/>
      <c r="C207" s="73"/>
      <c r="D207" s="86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3.5" customHeight="1" x14ac:dyDescent="0.15">
      <c r="A208" s="73"/>
      <c r="B208" s="73"/>
      <c r="C208" s="73"/>
      <c r="D208" s="86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3.5" customHeight="1" x14ac:dyDescent="0.15">
      <c r="A209" s="73"/>
      <c r="B209" s="73"/>
      <c r="C209" s="73"/>
      <c r="D209" s="86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3.5" customHeight="1" x14ac:dyDescent="0.15">
      <c r="A210" s="73"/>
      <c r="B210" s="73"/>
      <c r="C210" s="73"/>
      <c r="D210" s="86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3.5" customHeight="1" x14ac:dyDescent="0.15">
      <c r="A211" s="73"/>
      <c r="B211" s="73"/>
      <c r="C211" s="73"/>
      <c r="D211" s="86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3.5" customHeight="1" x14ac:dyDescent="0.15">
      <c r="A212" s="73"/>
      <c r="B212" s="73"/>
      <c r="C212" s="73"/>
      <c r="D212" s="86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3.5" customHeight="1" x14ac:dyDescent="0.15">
      <c r="A213" s="73"/>
      <c r="B213" s="73"/>
      <c r="C213" s="73"/>
      <c r="D213" s="86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3.5" customHeight="1" x14ac:dyDescent="0.15">
      <c r="A214" s="73"/>
      <c r="B214" s="73"/>
      <c r="C214" s="73"/>
      <c r="D214" s="86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3.5" customHeight="1" x14ac:dyDescent="0.15">
      <c r="A215" s="73"/>
      <c r="B215" s="73"/>
      <c r="C215" s="73"/>
      <c r="D215" s="86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3.5" customHeight="1" x14ac:dyDescent="0.15">
      <c r="A216" s="73"/>
      <c r="B216" s="73"/>
      <c r="C216" s="73"/>
      <c r="D216" s="86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3.5" customHeight="1" x14ac:dyDescent="0.15">
      <c r="A217" s="73"/>
      <c r="B217" s="73"/>
      <c r="C217" s="73"/>
      <c r="D217" s="86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3.5" customHeight="1" x14ac:dyDescent="0.15">
      <c r="A218" s="73"/>
      <c r="B218" s="73"/>
      <c r="C218" s="73"/>
      <c r="D218" s="86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3.5" customHeight="1" x14ac:dyDescent="0.15">
      <c r="A219" s="73"/>
      <c r="B219" s="73"/>
      <c r="C219" s="73"/>
      <c r="D219" s="86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3.5" customHeight="1" x14ac:dyDescent="0.15">
      <c r="A220" s="73"/>
      <c r="B220" s="73"/>
      <c r="C220" s="73"/>
      <c r="D220" s="86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3.5" customHeight="1" x14ac:dyDescent="0.15">
      <c r="A221" s="73"/>
      <c r="B221" s="73"/>
      <c r="C221" s="73"/>
      <c r="D221" s="86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3.5" customHeight="1" x14ac:dyDescent="0.15">
      <c r="A222" s="73"/>
      <c r="B222" s="73"/>
      <c r="C222" s="73"/>
      <c r="D222" s="86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3.5" customHeight="1" x14ac:dyDescent="0.15">
      <c r="A223" s="73"/>
      <c r="B223" s="73"/>
      <c r="C223" s="73"/>
      <c r="D223" s="86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3.5" customHeight="1" x14ac:dyDescent="0.15">
      <c r="A224" s="73"/>
      <c r="B224" s="73"/>
      <c r="C224" s="73"/>
      <c r="D224" s="86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3.5" customHeight="1" x14ac:dyDescent="0.15">
      <c r="A225" s="73"/>
      <c r="B225" s="73"/>
      <c r="C225" s="73"/>
      <c r="D225" s="86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3.5" customHeight="1" x14ac:dyDescent="0.15">
      <c r="A226" s="73"/>
      <c r="B226" s="73"/>
      <c r="C226" s="73"/>
      <c r="D226" s="86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3.5" customHeight="1" x14ac:dyDescent="0.15">
      <c r="A227" s="73"/>
      <c r="B227" s="73"/>
      <c r="C227" s="73"/>
      <c r="D227" s="86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15"/>
    <row r="229" spans="1:26" ht="15.75" customHeight="1" x14ac:dyDescent="0.15"/>
    <row r="230" spans="1:26" ht="15.75" customHeight="1" x14ac:dyDescent="0.15"/>
    <row r="231" spans="1:26" ht="15.75" customHeight="1" x14ac:dyDescent="0.15"/>
    <row r="232" spans="1:26" ht="15.75" customHeight="1" x14ac:dyDescent="0.15"/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D2"/>
    <mergeCell ref="B3:D3"/>
    <mergeCell ref="B4:D4"/>
  </mergeCells>
  <dataValidations count="1">
    <dataValidation type="list" allowBlank="1" showErrorMessage="1" sqref="I26:I28" xr:uid="{00000000-0002-0000-0800-000000000000}">
      <formula1>$F$3:$F$22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1000000}">
          <x14:formula1>
            <xm:f>CONTROL!$F$3:$F$22</xm:f>
          </x14:formula1>
          <xm:sqref>I6:I7</xm:sqref>
        </x14:dataValidation>
        <x14:dataValidation type="list" allowBlank="1" showErrorMessage="1" xr:uid="{00000000-0002-0000-0800-000002000000}">
          <x14:formula1>
            <xm:f>CONTROL!$F$3:$F$12</xm:f>
          </x14:formula1>
          <xm:sqref>I8:I25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/>
  </sheetViews>
  <sheetFormatPr baseColWidth="10" defaultColWidth="12.6640625" defaultRowHeight="15" customHeight="1" x14ac:dyDescent="0.15"/>
  <cols>
    <col min="1" max="1" width="12" customWidth="1"/>
    <col min="2" max="2" width="3.83203125" customWidth="1"/>
    <col min="3" max="3" width="27.1640625" customWidth="1"/>
    <col min="4" max="4" width="24.6640625" customWidth="1"/>
    <col min="5" max="5" width="1.1640625" customWidth="1"/>
    <col min="6" max="6" width="21.1640625" customWidth="1"/>
    <col min="7" max="7" width="1.33203125" customWidth="1"/>
    <col min="8" max="8" width="16.83203125" customWidth="1"/>
    <col min="9" max="11" width="8.6640625" customWidth="1"/>
    <col min="12" max="26" width="14.33203125" customWidth="1"/>
  </cols>
  <sheetData>
    <row r="1" spans="1:11" ht="14" x14ac:dyDescent="0.15">
      <c r="A1" s="73"/>
      <c r="B1" s="101"/>
      <c r="C1" s="73"/>
      <c r="D1" s="73"/>
      <c r="E1" s="73"/>
      <c r="F1" s="73"/>
      <c r="G1" s="73"/>
      <c r="H1" s="73"/>
      <c r="I1" s="73"/>
      <c r="J1" s="73"/>
      <c r="K1" s="73"/>
    </row>
    <row r="2" spans="1:11" ht="14" x14ac:dyDescent="0.15">
      <c r="A2" s="73"/>
      <c r="B2" s="256" t="str">
        <f>LPE!B2</f>
        <v>PT. TERANG GARAM SOLUSINDO</v>
      </c>
      <c r="C2" s="233"/>
      <c r="D2" s="233"/>
      <c r="E2" s="233"/>
      <c r="F2" s="233"/>
      <c r="G2" s="73"/>
      <c r="H2" s="73"/>
      <c r="I2" s="73"/>
      <c r="J2" s="73"/>
      <c r="K2" s="73"/>
    </row>
    <row r="3" spans="1:11" ht="14" x14ac:dyDescent="0.15">
      <c r="A3" s="73"/>
      <c r="B3" s="257" t="s">
        <v>104</v>
      </c>
      <c r="C3" s="224"/>
      <c r="D3" s="224"/>
      <c r="E3" s="224"/>
      <c r="F3" s="224"/>
      <c r="G3" s="73"/>
      <c r="H3" s="73"/>
      <c r="I3" s="73"/>
      <c r="J3" s="73"/>
      <c r="K3" s="73"/>
    </row>
    <row r="4" spans="1:11" ht="14" x14ac:dyDescent="0.15">
      <c r="A4" s="73"/>
      <c r="B4" s="258" t="str">
        <f>LPE!B4</f>
        <v>PERIODE</v>
      </c>
      <c r="C4" s="238"/>
      <c r="D4" s="238"/>
      <c r="E4" s="238"/>
      <c r="F4" s="238"/>
      <c r="G4" s="73"/>
      <c r="H4" s="73"/>
      <c r="I4" s="73"/>
      <c r="J4" s="73"/>
      <c r="K4" s="73"/>
    </row>
    <row r="5" spans="1:11" ht="14" x14ac:dyDescent="0.15">
      <c r="A5" s="73"/>
      <c r="B5" s="101"/>
      <c r="C5" s="73"/>
      <c r="D5" s="73"/>
      <c r="E5" s="73"/>
      <c r="F5" s="73"/>
      <c r="G5" s="73"/>
      <c r="H5" s="73"/>
      <c r="I5" s="73"/>
      <c r="J5" s="73"/>
      <c r="K5" s="73"/>
    </row>
    <row r="6" spans="1:11" x14ac:dyDescent="0.2">
      <c r="A6" s="73"/>
      <c r="B6" s="69" t="s">
        <v>105</v>
      </c>
      <c r="C6" s="70"/>
      <c r="D6" s="70"/>
      <c r="E6" s="70"/>
      <c r="F6" s="72"/>
    </row>
    <row r="7" spans="1:11" x14ac:dyDescent="0.2">
      <c r="A7" s="73"/>
      <c r="B7" s="54"/>
      <c r="C7" s="7" t="s">
        <v>106</v>
      </c>
      <c r="D7" s="7"/>
      <c r="E7" s="7"/>
      <c r="F7" s="63">
        <f>LR!D13+NRL!J11-NRL!I11</f>
        <v>-126305329</v>
      </c>
      <c r="H7" s="31"/>
    </row>
    <row r="8" spans="1:11" x14ac:dyDescent="0.2">
      <c r="A8" s="73"/>
      <c r="B8" s="54"/>
      <c r="C8" s="7" t="s">
        <v>107</v>
      </c>
      <c r="D8" s="7"/>
      <c r="E8" s="7"/>
      <c r="F8" s="63">
        <f>-NRL!I13+NRL!J13</f>
        <v>0</v>
      </c>
      <c r="H8" s="102"/>
    </row>
    <row r="9" spans="1:11" x14ac:dyDescent="0.2">
      <c r="A9" s="73"/>
      <c r="B9" s="54"/>
      <c r="C9" s="7" t="s">
        <v>108</v>
      </c>
      <c r="D9" s="7"/>
      <c r="E9" s="7"/>
      <c r="F9" s="63">
        <f>-(NRL!I12-AKUNUTANG)</f>
        <v>0</v>
      </c>
      <c r="H9" s="102"/>
    </row>
    <row r="10" spans="1:11" ht="15" customHeight="1" x14ac:dyDescent="0.2">
      <c r="A10" s="73"/>
      <c r="B10" s="54"/>
      <c r="C10" s="7" t="s">
        <v>109</v>
      </c>
      <c r="D10" s="7"/>
      <c r="E10" s="7"/>
      <c r="F10" s="63">
        <f>KEWAJIBANLANCARLAINNYA</f>
        <v>0</v>
      </c>
      <c r="H10" s="102"/>
    </row>
    <row r="11" spans="1:11" x14ac:dyDescent="0.2">
      <c r="A11" s="73"/>
      <c r="B11" s="54"/>
      <c r="C11" s="7" t="s">
        <v>110</v>
      </c>
      <c r="D11" s="7"/>
      <c r="E11" s="7"/>
      <c r="F11" s="63">
        <f ca="1">PENDAPATANLAINNYA</f>
        <v>0</v>
      </c>
    </row>
    <row r="12" spans="1:11" x14ac:dyDescent="0.2">
      <c r="A12" s="73"/>
      <c r="B12" s="54"/>
      <c r="C12" s="7" t="s">
        <v>111</v>
      </c>
      <c r="D12" s="7"/>
      <c r="E12" s="7"/>
      <c r="F12" s="63" t="e">
        <f ca="1">DEPRESIASIDANAMORTISASI+BEBAN+BEBANLAINNYA</f>
        <v>#REF!</v>
      </c>
    </row>
    <row r="13" spans="1:11" x14ac:dyDescent="0.2">
      <c r="A13" s="73"/>
      <c r="B13" s="69" t="s">
        <v>112</v>
      </c>
      <c r="C13" s="70"/>
      <c r="D13" s="70"/>
      <c r="E13" s="70"/>
      <c r="F13" s="71" t="e">
        <f ca="1">SUM(F7:F12)</f>
        <v>#REF!</v>
      </c>
      <c r="H13" s="31"/>
    </row>
    <row r="14" spans="1:11" x14ac:dyDescent="0.2">
      <c r="A14" s="73"/>
      <c r="B14" s="54"/>
      <c r="C14" s="7"/>
      <c r="D14" s="7"/>
      <c r="E14" s="7"/>
      <c r="F14" s="63"/>
    </row>
    <row r="15" spans="1:11" x14ac:dyDescent="0.2">
      <c r="A15" s="73"/>
      <c r="B15" s="69" t="s">
        <v>113</v>
      </c>
      <c r="C15" s="70"/>
      <c r="D15" s="70"/>
      <c r="E15" s="70"/>
      <c r="F15" s="72"/>
    </row>
    <row r="16" spans="1:11" x14ac:dyDescent="0.2">
      <c r="A16" s="73"/>
      <c r="B16" s="54"/>
      <c r="C16" s="7" t="s">
        <v>114</v>
      </c>
      <c r="D16" s="7"/>
      <c r="E16" s="7"/>
      <c r="F16" s="63">
        <f>-NRL!I14+NRL!J14</f>
        <v>515685</v>
      </c>
      <c r="H16" s="102"/>
    </row>
    <row r="17" spans="1:11" x14ac:dyDescent="0.2">
      <c r="A17" s="73"/>
      <c r="B17" s="54"/>
      <c r="C17" s="7" t="s">
        <v>115</v>
      </c>
      <c r="D17" s="7"/>
      <c r="E17" s="7"/>
      <c r="F17" s="63">
        <f>AKTIVALAINNYA</f>
        <v>0</v>
      </c>
    </row>
    <row r="18" spans="1:11" x14ac:dyDescent="0.2">
      <c r="A18" s="73"/>
      <c r="B18" s="69" t="s">
        <v>116</v>
      </c>
      <c r="C18" s="70"/>
      <c r="D18" s="70"/>
      <c r="E18" s="70"/>
      <c r="F18" s="71">
        <f>SUM(F16:F17)</f>
        <v>515685</v>
      </c>
    </row>
    <row r="19" spans="1:11" x14ac:dyDescent="0.2">
      <c r="A19" s="73"/>
      <c r="B19" s="54"/>
      <c r="C19" s="7"/>
      <c r="D19" s="7"/>
      <c r="E19" s="7"/>
      <c r="F19" s="63"/>
    </row>
    <row r="20" spans="1:11" x14ac:dyDescent="0.2">
      <c r="A20" s="73"/>
      <c r="B20" s="69" t="s">
        <v>117</v>
      </c>
      <c r="C20" s="70"/>
      <c r="D20" s="70"/>
      <c r="E20" s="70"/>
      <c r="F20" s="72"/>
    </row>
    <row r="21" spans="1:11" ht="15.75" customHeight="1" x14ac:dyDescent="0.2">
      <c r="A21" s="73"/>
      <c r="B21" s="54"/>
      <c r="C21" s="7" t="s">
        <v>118</v>
      </c>
      <c r="D21" s="7"/>
      <c r="E21" s="7"/>
      <c r="F21" s="63">
        <f>KEWAJIBANJANGKAPANJANG</f>
        <v>0</v>
      </c>
    </row>
    <row r="22" spans="1:11" ht="15.75" customHeight="1" x14ac:dyDescent="0.2">
      <c r="A22" s="73"/>
      <c r="B22" s="54"/>
      <c r="C22" s="7" t="s">
        <v>119</v>
      </c>
      <c r="D22" s="7"/>
      <c r="E22" s="7"/>
      <c r="F22" s="63">
        <f>NRL!J18</f>
        <v>0</v>
      </c>
      <c r="H22" s="102"/>
    </row>
    <row r="23" spans="1:11" ht="15.75" customHeight="1" x14ac:dyDescent="0.2">
      <c r="A23" s="73"/>
      <c r="B23" s="69" t="s">
        <v>120</v>
      </c>
      <c r="C23" s="70"/>
      <c r="D23" s="70"/>
      <c r="E23" s="70"/>
      <c r="F23" s="71">
        <f>SUM(F21:F22)</f>
        <v>0</v>
      </c>
    </row>
    <row r="24" spans="1:11" ht="15.75" customHeight="1" x14ac:dyDescent="0.2">
      <c r="A24" s="73"/>
      <c r="B24" s="54"/>
      <c r="C24" s="7"/>
      <c r="D24" s="7"/>
      <c r="E24" s="7"/>
      <c r="F24" s="63"/>
    </row>
    <row r="25" spans="1:11" ht="15.75" customHeight="1" x14ac:dyDescent="0.2">
      <c r="A25" s="73"/>
      <c r="B25" s="103" t="s">
        <v>121</v>
      </c>
      <c r="C25" s="104"/>
      <c r="D25" s="105"/>
      <c r="E25" s="105"/>
      <c r="F25" s="106" t="e">
        <f ca="1">F13+F18+F23</f>
        <v>#REF!</v>
      </c>
      <c r="H25" s="102"/>
    </row>
    <row r="26" spans="1:11" ht="15.75" customHeight="1" x14ac:dyDescent="0.2">
      <c r="A26" s="73"/>
      <c r="B26" s="107" t="s">
        <v>122</v>
      </c>
      <c r="C26" s="108"/>
      <c r="D26" s="58"/>
      <c r="E26" s="58"/>
      <c r="F26" s="109">
        <f>NRL!G8</f>
        <v>0</v>
      </c>
      <c r="H26" s="31"/>
    </row>
    <row r="27" spans="1:11" ht="15.75" customHeight="1" x14ac:dyDescent="0.2">
      <c r="A27" s="73"/>
      <c r="B27" s="110" t="s">
        <v>123</v>
      </c>
      <c r="C27" s="111"/>
      <c r="D27" s="112"/>
      <c r="E27" s="112"/>
      <c r="F27" s="113" t="e">
        <f ca="1">SUM(F25:F26)</f>
        <v>#REF!</v>
      </c>
      <c r="H27" s="102"/>
    </row>
    <row r="28" spans="1:11" ht="15.75" customHeight="1" x14ac:dyDescent="0.15">
      <c r="A28" s="73"/>
      <c r="B28" s="101"/>
      <c r="C28" s="73"/>
      <c r="D28" s="73"/>
      <c r="E28" s="73"/>
      <c r="F28" s="73"/>
      <c r="G28" s="73"/>
      <c r="H28" s="73"/>
      <c r="I28" s="73"/>
      <c r="J28" s="73"/>
      <c r="K28" s="73"/>
    </row>
    <row r="29" spans="1:11" ht="15.75" customHeight="1" x14ac:dyDescent="0.15">
      <c r="A29" s="73"/>
      <c r="B29" s="101"/>
      <c r="C29" s="73"/>
      <c r="D29" s="73"/>
      <c r="E29" s="73"/>
      <c r="F29" s="73"/>
      <c r="G29" s="73"/>
      <c r="H29" s="73"/>
      <c r="I29" s="73"/>
      <c r="J29" s="73"/>
      <c r="K29" s="73"/>
    </row>
    <row r="30" spans="1:11" ht="15.75" customHeight="1" x14ac:dyDescent="0.15">
      <c r="A30" s="73"/>
      <c r="B30" s="101"/>
      <c r="C30" s="73"/>
      <c r="D30" s="73"/>
      <c r="E30" s="73"/>
      <c r="F30" s="73"/>
      <c r="G30" s="73"/>
      <c r="H30" s="73"/>
      <c r="I30" s="73"/>
      <c r="J30" s="73"/>
      <c r="K30" s="73"/>
    </row>
    <row r="31" spans="1:11" ht="15.75" customHeight="1" x14ac:dyDescent="0.15">
      <c r="A31" s="73"/>
      <c r="B31" s="101"/>
      <c r="C31" s="73"/>
      <c r="D31" s="73"/>
      <c r="E31" s="73"/>
      <c r="F31" s="73"/>
      <c r="G31" s="73"/>
      <c r="H31" s="73"/>
      <c r="I31" s="73"/>
      <c r="J31" s="73"/>
      <c r="K31" s="73"/>
    </row>
    <row r="32" spans="1:11" ht="15.75" customHeight="1" x14ac:dyDescent="0.15">
      <c r="A32" s="73"/>
      <c r="B32" s="101"/>
      <c r="C32" s="73"/>
      <c r="D32" s="73"/>
      <c r="E32" s="73"/>
      <c r="F32" s="73"/>
      <c r="G32" s="73"/>
      <c r="H32" s="73"/>
      <c r="I32" s="73"/>
      <c r="J32" s="73"/>
      <c r="K32" s="73"/>
    </row>
    <row r="33" spans="1:11" ht="15.75" customHeight="1" x14ac:dyDescent="0.15">
      <c r="A33" s="73"/>
      <c r="B33" s="101"/>
      <c r="C33" s="73"/>
      <c r="D33" s="73"/>
      <c r="E33" s="73"/>
      <c r="F33" s="73"/>
      <c r="G33" s="73"/>
      <c r="H33" s="73"/>
      <c r="I33" s="73"/>
      <c r="J33" s="73"/>
      <c r="K33" s="73"/>
    </row>
    <row r="34" spans="1:11" ht="15.75" customHeight="1" x14ac:dyDescent="0.15">
      <c r="A34" s="73"/>
      <c r="B34" s="101"/>
      <c r="C34" s="73"/>
      <c r="D34" s="73"/>
      <c r="E34" s="73"/>
      <c r="F34" s="73"/>
      <c r="G34" s="73"/>
      <c r="H34" s="73"/>
      <c r="I34" s="73"/>
      <c r="J34" s="73"/>
      <c r="K34" s="73"/>
    </row>
    <row r="35" spans="1:11" ht="15.75" customHeight="1" x14ac:dyDescent="0.15">
      <c r="A35" s="73"/>
      <c r="B35" s="101"/>
      <c r="C35" s="73"/>
      <c r="D35" s="73"/>
      <c r="E35" s="73"/>
      <c r="F35" s="73"/>
      <c r="G35" s="73"/>
      <c r="H35" s="73"/>
      <c r="I35" s="73"/>
      <c r="J35" s="73"/>
      <c r="K35" s="73"/>
    </row>
    <row r="36" spans="1:11" ht="15.75" customHeight="1" x14ac:dyDescent="0.15">
      <c r="A36" s="73"/>
      <c r="B36" s="101"/>
      <c r="C36" s="73"/>
      <c r="D36" s="73"/>
      <c r="E36" s="73"/>
      <c r="F36" s="73"/>
      <c r="G36" s="73"/>
      <c r="H36" s="73"/>
      <c r="I36" s="73"/>
      <c r="J36" s="73"/>
      <c r="K36" s="73"/>
    </row>
    <row r="37" spans="1:11" ht="15.75" customHeight="1" x14ac:dyDescent="0.15">
      <c r="A37" s="73"/>
      <c r="B37" s="101"/>
      <c r="C37" s="73"/>
      <c r="D37" s="73"/>
      <c r="E37" s="73"/>
      <c r="F37" s="73"/>
      <c r="G37" s="73"/>
      <c r="H37" s="73"/>
      <c r="I37" s="73"/>
      <c r="J37" s="73"/>
      <c r="K37" s="73"/>
    </row>
    <row r="38" spans="1:11" ht="15.75" customHeight="1" x14ac:dyDescent="0.15">
      <c r="A38" s="73"/>
      <c r="B38" s="101"/>
      <c r="C38" s="73"/>
      <c r="D38" s="73"/>
      <c r="E38" s="73"/>
      <c r="F38" s="73"/>
      <c r="G38" s="73"/>
      <c r="H38" s="73"/>
      <c r="I38" s="73"/>
      <c r="J38" s="73"/>
      <c r="K38" s="73"/>
    </row>
    <row r="39" spans="1:11" ht="15.75" customHeight="1" x14ac:dyDescent="0.15">
      <c r="A39" s="73"/>
      <c r="B39" s="101"/>
      <c r="C39" s="73"/>
      <c r="D39" s="73"/>
      <c r="E39" s="73"/>
      <c r="F39" s="73"/>
      <c r="G39" s="73"/>
      <c r="H39" s="73"/>
      <c r="I39" s="73"/>
      <c r="J39" s="73"/>
      <c r="K39" s="73"/>
    </row>
    <row r="40" spans="1:11" ht="15.75" customHeight="1" x14ac:dyDescent="0.15">
      <c r="A40" s="73"/>
      <c r="B40" s="101"/>
      <c r="C40" s="73"/>
      <c r="D40" s="73"/>
      <c r="E40" s="73"/>
      <c r="F40" s="73"/>
      <c r="G40" s="73"/>
      <c r="H40" s="73"/>
      <c r="I40" s="73"/>
      <c r="J40" s="73"/>
      <c r="K40" s="73"/>
    </row>
    <row r="41" spans="1:11" ht="15.75" customHeight="1" x14ac:dyDescent="0.15">
      <c r="A41" s="73"/>
      <c r="B41" s="101"/>
      <c r="C41" s="73"/>
      <c r="D41" s="73"/>
      <c r="E41" s="73"/>
      <c r="F41" s="73"/>
      <c r="G41" s="73"/>
      <c r="H41" s="73"/>
      <c r="I41" s="73"/>
      <c r="J41" s="73"/>
      <c r="K41" s="73"/>
    </row>
    <row r="42" spans="1:11" ht="15.75" customHeight="1" x14ac:dyDescent="0.15">
      <c r="A42" s="73"/>
      <c r="B42" s="101"/>
      <c r="C42" s="73"/>
      <c r="D42" s="73"/>
      <c r="E42" s="73"/>
      <c r="F42" s="73"/>
      <c r="G42" s="73"/>
      <c r="H42" s="73"/>
      <c r="I42" s="73"/>
      <c r="J42" s="73"/>
      <c r="K42" s="73"/>
    </row>
    <row r="43" spans="1:11" ht="15.75" customHeight="1" x14ac:dyDescent="0.15">
      <c r="A43" s="73"/>
      <c r="B43" s="101"/>
      <c r="C43" s="73"/>
      <c r="D43" s="73"/>
      <c r="E43" s="73"/>
      <c r="F43" s="73"/>
      <c r="G43" s="73"/>
      <c r="H43" s="73"/>
      <c r="I43" s="73"/>
      <c r="J43" s="73"/>
      <c r="K43" s="73"/>
    </row>
    <row r="44" spans="1:11" ht="15.75" customHeight="1" x14ac:dyDescent="0.15">
      <c r="A44" s="73"/>
      <c r="B44" s="101"/>
      <c r="C44" s="73"/>
      <c r="D44" s="73"/>
      <c r="E44" s="73"/>
      <c r="F44" s="73"/>
      <c r="G44" s="73"/>
      <c r="H44" s="73"/>
      <c r="I44" s="73"/>
      <c r="J44" s="73"/>
      <c r="K44" s="73"/>
    </row>
    <row r="45" spans="1:11" ht="15.75" customHeight="1" x14ac:dyDescent="0.15">
      <c r="A45" s="73"/>
      <c r="B45" s="101"/>
      <c r="C45" s="73"/>
      <c r="D45" s="73"/>
      <c r="E45" s="73"/>
      <c r="F45" s="73"/>
      <c r="G45" s="73"/>
      <c r="H45" s="73"/>
      <c r="I45" s="73"/>
      <c r="J45" s="73"/>
      <c r="K45" s="73"/>
    </row>
    <row r="46" spans="1:11" ht="15.75" customHeight="1" x14ac:dyDescent="0.15">
      <c r="A46" s="73"/>
      <c r="B46" s="101"/>
      <c r="C46" s="73"/>
      <c r="D46" s="73"/>
      <c r="E46" s="73"/>
      <c r="F46" s="73"/>
      <c r="G46" s="73"/>
      <c r="H46" s="73"/>
      <c r="I46" s="73"/>
      <c r="J46" s="73"/>
      <c r="K46" s="73"/>
    </row>
    <row r="47" spans="1:11" ht="15.75" customHeight="1" x14ac:dyDescent="0.15">
      <c r="A47" s="73"/>
      <c r="B47" s="101"/>
      <c r="C47" s="73"/>
      <c r="D47" s="73"/>
      <c r="E47" s="73"/>
      <c r="F47" s="73"/>
      <c r="G47" s="73"/>
      <c r="H47" s="73"/>
      <c r="I47" s="73"/>
      <c r="J47" s="73"/>
      <c r="K47" s="73"/>
    </row>
    <row r="48" spans="1:11" ht="15.75" customHeight="1" x14ac:dyDescent="0.15">
      <c r="A48" s="73"/>
      <c r="B48" s="101"/>
      <c r="C48" s="73"/>
      <c r="D48" s="73"/>
      <c r="E48" s="73"/>
      <c r="F48" s="73"/>
      <c r="G48" s="73"/>
      <c r="H48" s="73"/>
      <c r="I48" s="73"/>
      <c r="J48" s="73"/>
      <c r="K48" s="73"/>
    </row>
    <row r="49" spans="1:11" ht="15.75" customHeight="1" x14ac:dyDescent="0.15">
      <c r="A49" s="73"/>
      <c r="B49" s="101"/>
      <c r="C49" s="73"/>
      <c r="D49" s="73"/>
      <c r="E49" s="73"/>
      <c r="F49" s="73"/>
      <c r="G49" s="73"/>
      <c r="H49" s="73"/>
      <c r="I49" s="73"/>
      <c r="J49" s="73"/>
      <c r="K49" s="73"/>
    </row>
    <row r="50" spans="1:11" ht="15.75" customHeight="1" x14ac:dyDescent="0.15">
      <c r="A50" s="73"/>
      <c r="B50" s="101"/>
      <c r="C50" s="73"/>
      <c r="D50" s="73"/>
      <c r="E50" s="73"/>
      <c r="F50" s="73"/>
      <c r="G50" s="73"/>
      <c r="H50" s="73"/>
      <c r="I50" s="73"/>
      <c r="J50" s="73"/>
      <c r="K50" s="73"/>
    </row>
    <row r="51" spans="1:11" ht="15.75" customHeight="1" x14ac:dyDescent="0.15">
      <c r="A51" s="73"/>
      <c r="B51" s="101"/>
      <c r="C51" s="73"/>
      <c r="D51" s="73"/>
      <c r="E51" s="73"/>
      <c r="F51" s="73"/>
      <c r="G51" s="73"/>
      <c r="H51" s="73"/>
      <c r="I51" s="73"/>
      <c r="J51" s="73"/>
      <c r="K51" s="73"/>
    </row>
    <row r="52" spans="1:11" ht="15.75" customHeight="1" x14ac:dyDescent="0.15">
      <c r="A52" s="73"/>
      <c r="B52" s="101"/>
      <c r="C52" s="73"/>
      <c r="D52" s="73"/>
      <c r="E52" s="73"/>
      <c r="F52" s="73"/>
      <c r="G52" s="73"/>
      <c r="H52" s="73"/>
      <c r="I52" s="73"/>
      <c r="J52" s="73"/>
      <c r="K52" s="73"/>
    </row>
    <row r="53" spans="1:11" ht="15.75" customHeight="1" x14ac:dyDescent="0.15">
      <c r="A53" s="73"/>
      <c r="B53" s="101"/>
      <c r="C53" s="73"/>
      <c r="D53" s="73"/>
      <c r="E53" s="73"/>
      <c r="F53" s="73"/>
      <c r="G53" s="73"/>
      <c r="H53" s="73"/>
      <c r="I53" s="73"/>
      <c r="J53" s="73"/>
      <c r="K53" s="73"/>
    </row>
    <row r="54" spans="1:11" ht="15.75" customHeight="1" x14ac:dyDescent="0.15">
      <c r="A54" s="73"/>
      <c r="B54" s="101"/>
      <c r="C54" s="73"/>
      <c r="D54" s="73"/>
      <c r="E54" s="73"/>
      <c r="F54" s="73"/>
      <c r="G54" s="73"/>
      <c r="H54" s="73"/>
      <c r="I54" s="73"/>
      <c r="J54" s="73"/>
      <c r="K54" s="73"/>
    </row>
    <row r="55" spans="1:11" ht="15.75" customHeight="1" x14ac:dyDescent="0.15">
      <c r="A55" s="73"/>
      <c r="B55" s="101"/>
      <c r="C55" s="73"/>
      <c r="D55" s="73"/>
      <c r="E55" s="73"/>
      <c r="F55" s="73"/>
      <c r="G55" s="73"/>
      <c r="H55" s="73"/>
      <c r="I55" s="73"/>
      <c r="J55" s="73"/>
      <c r="K55" s="73"/>
    </row>
    <row r="56" spans="1:11" ht="15.75" customHeight="1" x14ac:dyDescent="0.15">
      <c r="A56" s="73"/>
      <c r="B56" s="101"/>
      <c r="C56" s="73"/>
      <c r="D56" s="73"/>
      <c r="E56" s="73"/>
      <c r="F56" s="73"/>
      <c r="G56" s="73"/>
      <c r="H56" s="73"/>
      <c r="I56" s="73"/>
      <c r="J56" s="73"/>
      <c r="K56" s="73"/>
    </row>
    <row r="57" spans="1:11" ht="15.75" customHeight="1" x14ac:dyDescent="0.15">
      <c r="A57" s="73"/>
      <c r="B57" s="101"/>
      <c r="C57" s="73"/>
      <c r="D57" s="73"/>
      <c r="E57" s="73"/>
      <c r="F57" s="73"/>
      <c r="G57" s="73"/>
      <c r="H57" s="73"/>
      <c r="I57" s="73"/>
      <c r="J57" s="73"/>
      <c r="K57" s="73"/>
    </row>
    <row r="58" spans="1:11" ht="15.75" customHeight="1" x14ac:dyDescent="0.15">
      <c r="A58" s="73"/>
      <c r="B58" s="101"/>
      <c r="C58" s="73"/>
      <c r="D58" s="73"/>
      <c r="E58" s="73"/>
      <c r="F58" s="73"/>
      <c r="G58" s="73"/>
      <c r="H58" s="73"/>
      <c r="I58" s="73"/>
      <c r="J58" s="73"/>
      <c r="K58" s="73"/>
    </row>
    <row r="59" spans="1:11" ht="15.75" customHeight="1" x14ac:dyDescent="0.15">
      <c r="A59" s="73"/>
      <c r="B59" s="101"/>
      <c r="C59" s="73"/>
      <c r="D59" s="73"/>
      <c r="E59" s="73"/>
      <c r="F59" s="73"/>
      <c r="G59" s="73"/>
      <c r="H59" s="73"/>
      <c r="I59" s="73"/>
      <c r="J59" s="73"/>
      <c r="K59" s="73"/>
    </row>
    <row r="60" spans="1:11" ht="15.75" customHeight="1" x14ac:dyDescent="0.15">
      <c r="A60" s="73"/>
      <c r="B60" s="101"/>
      <c r="C60" s="73"/>
      <c r="D60" s="73"/>
      <c r="E60" s="73"/>
      <c r="F60" s="73"/>
      <c r="G60" s="73"/>
      <c r="H60" s="73"/>
      <c r="I60" s="73"/>
      <c r="J60" s="73"/>
      <c r="K60" s="73"/>
    </row>
    <row r="61" spans="1:11" ht="15.75" customHeight="1" x14ac:dyDescent="0.15">
      <c r="A61" s="73"/>
      <c r="B61" s="101"/>
      <c r="C61" s="73"/>
      <c r="D61" s="73"/>
      <c r="E61" s="73"/>
      <c r="F61" s="73"/>
      <c r="G61" s="73"/>
      <c r="H61" s="73"/>
      <c r="I61" s="73"/>
      <c r="J61" s="73"/>
      <c r="K61" s="73"/>
    </row>
    <row r="62" spans="1:11" ht="15.75" customHeight="1" x14ac:dyDescent="0.15">
      <c r="A62" s="73"/>
      <c r="B62" s="101"/>
      <c r="C62" s="73"/>
      <c r="D62" s="73"/>
      <c r="E62" s="73"/>
      <c r="F62" s="73"/>
      <c r="G62" s="73"/>
      <c r="H62" s="73"/>
      <c r="I62" s="73"/>
      <c r="J62" s="73"/>
      <c r="K62" s="73"/>
    </row>
    <row r="63" spans="1:11" ht="15.75" customHeight="1" x14ac:dyDescent="0.15">
      <c r="A63" s="73"/>
      <c r="B63" s="101"/>
      <c r="C63" s="73"/>
      <c r="D63" s="73"/>
      <c r="E63" s="73"/>
      <c r="F63" s="73"/>
      <c r="G63" s="73"/>
      <c r="H63" s="73"/>
      <c r="I63" s="73"/>
      <c r="J63" s="73"/>
      <c r="K63" s="73"/>
    </row>
    <row r="64" spans="1:11" ht="15.75" customHeight="1" x14ac:dyDescent="0.15">
      <c r="A64" s="73"/>
      <c r="B64" s="101"/>
      <c r="C64" s="73"/>
      <c r="D64" s="73"/>
      <c r="E64" s="73"/>
      <c r="F64" s="73"/>
      <c r="G64" s="73"/>
      <c r="H64" s="73"/>
      <c r="I64" s="73"/>
      <c r="J64" s="73"/>
      <c r="K64" s="73"/>
    </row>
    <row r="65" spans="1:11" ht="15.75" customHeight="1" x14ac:dyDescent="0.15">
      <c r="A65" s="73"/>
      <c r="B65" s="101"/>
      <c r="C65" s="73"/>
      <c r="D65" s="73"/>
      <c r="E65" s="73"/>
      <c r="F65" s="73"/>
      <c r="G65" s="73"/>
      <c r="H65" s="73"/>
      <c r="I65" s="73"/>
      <c r="J65" s="73"/>
      <c r="K65" s="73"/>
    </row>
    <row r="66" spans="1:11" ht="15.75" customHeight="1" x14ac:dyDescent="0.15">
      <c r="A66" s="73"/>
      <c r="B66" s="101"/>
      <c r="C66" s="73"/>
      <c r="D66" s="73"/>
      <c r="E66" s="73"/>
      <c r="F66" s="73"/>
      <c r="G66" s="73"/>
      <c r="H66" s="73"/>
      <c r="I66" s="73"/>
      <c r="J66" s="73"/>
      <c r="K66" s="73"/>
    </row>
    <row r="67" spans="1:11" ht="15.75" customHeight="1" x14ac:dyDescent="0.15">
      <c r="A67" s="73"/>
      <c r="B67" s="101"/>
      <c r="C67" s="73"/>
      <c r="D67" s="73"/>
      <c r="E67" s="73"/>
      <c r="F67" s="73"/>
      <c r="G67" s="73"/>
      <c r="H67" s="73"/>
      <c r="I67" s="73"/>
      <c r="J67" s="73"/>
      <c r="K67" s="73"/>
    </row>
    <row r="68" spans="1:11" ht="15.75" customHeight="1" x14ac:dyDescent="0.15">
      <c r="A68" s="73"/>
      <c r="B68" s="101"/>
      <c r="C68" s="73"/>
      <c r="D68" s="73"/>
      <c r="E68" s="73"/>
      <c r="F68" s="73"/>
      <c r="G68" s="73"/>
      <c r="H68" s="73"/>
      <c r="I68" s="73"/>
      <c r="J68" s="73"/>
      <c r="K68" s="73"/>
    </row>
    <row r="69" spans="1:11" ht="15.75" customHeight="1" x14ac:dyDescent="0.15">
      <c r="A69" s="73"/>
      <c r="B69" s="101"/>
      <c r="C69" s="73"/>
      <c r="D69" s="73"/>
      <c r="E69" s="73"/>
      <c r="F69" s="73"/>
      <c r="G69" s="73"/>
      <c r="H69" s="73"/>
      <c r="I69" s="73"/>
      <c r="J69" s="73"/>
      <c r="K69" s="73"/>
    </row>
    <row r="70" spans="1:11" ht="15.75" customHeight="1" x14ac:dyDescent="0.15">
      <c r="A70" s="73"/>
      <c r="B70" s="101"/>
      <c r="C70" s="73"/>
      <c r="D70" s="73"/>
      <c r="E70" s="73"/>
      <c r="F70" s="73"/>
      <c r="G70" s="73"/>
      <c r="H70" s="73"/>
      <c r="I70" s="73"/>
      <c r="J70" s="73"/>
      <c r="K70" s="73"/>
    </row>
    <row r="71" spans="1:11" ht="15.75" customHeight="1" x14ac:dyDescent="0.15">
      <c r="A71" s="73"/>
      <c r="B71" s="101"/>
      <c r="C71" s="73"/>
      <c r="D71" s="73"/>
      <c r="E71" s="73"/>
      <c r="F71" s="73"/>
      <c r="G71" s="73"/>
      <c r="H71" s="73"/>
      <c r="I71" s="73"/>
      <c r="J71" s="73"/>
      <c r="K71" s="73"/>
    </row>
    <row r="72" spans="1:11" ht="15.75" customHeight="1" x14ac:dyDescent="0.15">
      <c r="A72" s="73"/>
      <c r="B72" s="101"/>
      <c r="C72" s="73"/>
      <c r="D72" s="73"/>
      <c r="E72" s="73"/>
      <c r="F72" s="73"/>
      <c r="G72" s="73"/>
      <c r="H72" s="73"/>
      <c r="I72" s="73"/>
      <c r="J72" s="73"/>
      <c r="K72" s="73"/>
    </row>
    <row r="73" spans="1:11" ht="15.75" customHeight="1" x14ac:dyDescent="0.15">
      <c r="A73" s="73"/>
      <c r="B73" s="101"/>
      <c r="C73" s="73"/>
      <c r="D73" s="73"/>
      <c r="E73" s="73"/>
      <c r="F73" s="73"/>
      <c r="G73" s="73"/>
      <c r="H73" s="73"/>
      <c r="I73" s="73"/>
      <c r="J73" s="73"/>
      <c r="K73" s="73"/>
    </row>
    <row r="74" spans="1:11" ht="15.75" customHeight="1" x14ac:dyDescent="0.15">
      <c r="A74" s="73"/>
      <c r="B74" s="101"/>
      <c r="C74" s="73"/>
      <c r="D74" s="73"/>
      <c r="E74" s="73"/>
      <c r="F74" s="73"/>
      <c r="G74" s="73"/>
      <c r="H74" s="73"/>
      <c r="I74" s="73"/>
      <c r="J74" s="73"/>
      <c r="K74" s="73"/>
    </row>
    <row r="75" spans="1:11" ht="15.75" customHeight="1" x14ac:dyDescent="0.15">
      <c r="A75" s="73"/>
      <c r="B75" s="101"/>
      <c r="C75" s="73"/>
      <c r="D75" s="73"/>
      <c r="E75" s="73"/>
      <c r="F75" s="73"/>
      <c r="G75" s="73"/>
      <c r="H75" s="73"/>
      <c r="I75" s="73"/>
      <c r="J75" s="73"/>
      <c r="K75" s="73"/>
    </row>
    <row r="76" spans="1:11" ht="15.75" customHeight="1" x14ac:dyDescent="0.15">
      <c r="A76" s="73"/>
      <c r="B76" s="101"/>
      <c r="C76" s="73"/>
      <c r="D76" s="73"/>
      <c r="E76" s="73"/>
      <c r="F76" s="73"/>
      <c r="G76" s="73"/>
      <c r="H76" s="73"/>
      <c r="I76" s="73"/>
      <c r="J76" s="73"/>
      <c r="K76" s="73"/>
    </row>
    <row r="77" spans="1:11" ht="15.75" customHeight="1" x14ac:dyDescent="0.15">
      <c r="A77" s="73"/>
      <c r="B77" s="101"/>
      <c r="C77" s="73"/>
      <c r="D77" s="73"/>
      <c r="E77" s="73"/>
      <c r="F77" s="73"/>
      <c r="G77" s="73"/>
      <c r="H77" s="73"/>
      <c r="I77" s="73"/>
      <c r="J77" s="73"/>
      <c r="K77" s="73"/>
    </row>
    <row r="78" spans="1:11" ht="15.75" customHeight="1" x14ac:dyDescent="0.15">
      <c r="A78" s="73"/>
      <c r="B78" s="101"/>
      <c r="C78" s="73"/>
      <c r="D78" s="73"/>
      <c r="E78" s="73"/>
      <c r="F78" s="73"/>
      <c r="G78" s="73"/>
      <c r="H78" s="73"/>
      <c r="I78" s="73"/>
      <c r="J78" s="73"/>
      <c r="K78" s="73"/>
    </row>
    <row r="79" spans="1:11" ht="15.75" customHeight="1" x14ac:dyDescent="0.15">
      <c r="A79" s="73"/>
      <c r="B79" s="101"/>
      <c r="C79" s="73"/>
      <c r="D79" s="73"/>
      <c r="E79" s="73"/>
      <c r="F79" s="73"/>
      <c r="G79" s="73"/>
      <c r="H79" s="73"/>
      <c r="I79" s="73"/>
      <c r="J79" s="73"/>
      <c r="K79" s="73"/>
    </row>
    <row r="80" spans="1:11" ht="15.75" customHeight="1" x14ac:dyDescent="0.15">
      <c r="A80" s="73"/>
      <c r="B80" s="101"/>
      <c r="C80" s="73"/>
      <c r="D80" s="73"/>
      <c r="E80" s="73"/>
      <c r="F80" s="73"/>
      <c r="G80" s="73"/>
      <c r="H80" s="73"/>
      <c r="I80" s="73"/>
      <c r="J80" s="73"/>
      <c r="K80" s="73"/>
    </row>
    <row r="81" spans="1:11" ht="15.75" customHeight="1" x14ac:dyDescent="0.15">
      <c r="A81" s="73"/>
      <c r="B81" s="101"/>
      <c r="C81" s="73"/>
      <c r="D81" s="73"/>
      <c r="E81" s="73"/>
      <c r="F81" s="73"/>
      <c r="G81" s="73"/>
      <c r="H81" s="73"/>
      <c r="I81" s="73"/>
      <c r="J81" s="73"/>
      <c r="K81" s="73"/>
    </row>
    <row r="82" spans="1:11" ht="15.75" customHeight="1" x14ac:dyDescent="0.2">
      <c r="B82" s="114"/>
    </row>
    <row r="83" spans="1:11" ht="15.75" customHeight="1" x14ac:dyDescent="0.2">
      <c r="B83" s="114"/>
    </row>
    <row r="84" spans="1:11" ht="15.75" customHeight="1" x14ac:dyDescent="0.2">
      <c r="B84" s="114"/>
    </row>
    <row r="85" spans="1:11" ht="15.75" customHeight="1" x14ac:dyDescent="0.2">
      <c r="B85" s="114"/>
    </row>
    <row r="86" spans="1:11" ht="15.75" customHeight="1" x14ac:dyDescent="0.2">
      <c r="B86" s="114"/>
    </row>
    <row r="87" spans="1:11" ht="15.75" customHeight="1" x14ac:dyDescent="0.2">
      <c r="B87" s="114"/>
    </row>
    <row r="88" spans="1:11" ht="15.75" customHeight="1" x14ac:dyDescent="0.2">
      <c r="B88" s="114"/>
    </row>
    <row r="89" spans="1:11" ht="15.75" customHeight="1" x14ac:dyDescent="0.2">
      <c r="B89" s="114"/>
    </row>
    <row r="90" spans="1:11" ht="15.75" customHeight="1" x14ac:dyDescent="0.2">
      <c r="B90" s="114"/>
    </row>
    <row r="91" spans="1:11" ht="15.75" customHeight="1" x14ac:dyDescent="0.2">
      <c r="B91" s="114"/>
    </row>
    <row r="92" spans="1:11" ht="15.75" customHeight="1" x14ac:dyDescent="0.2">
      <c r="B92" s="114"/>
    </row>
    <row r="93" spans="1:11" ht="15.75" customHeight="1" x14ac:dyDescent="0.2">
      <c r="B93" s="114"/>
    </row>
    <row r="94" spans="1:11" ht="15.75" customHeight="1" x14ac:dyDescent="0.2">
      <c r="B94" s="114"/>
    </row>
    <row r="95" spans="1:11" ht="15.75" customHeight="1" x14ac:dyDescent="0.2">
      <c r="B95" s="114"/>
    </row>
    <row r="96" spans="1:11" ht="15.75" customHeight="1" x14ac:dyDescent="0.2">
      <c r="B96" s="114"/>
    </row>
    <row r="97" spans="2:2" ht="15.75" customHeight="1" x14ac:dyDescent="0.2">
      <c r="B97" s="114"/>
    </row>
    <row r="98" spans="2:2" ht="15.75" customHeight="1" x14ac:dyDescent="0.2">
      <c r="B98" s="114"/>
    </row>
    <row r="99" spans="2:2" ht="15.75" customHeight="1" x14ac:dyDescent="0.2">
      <c r="B99" s="114"/>
    </row>
    <row r="100" spans="2:2" ht="15.75" customHeight="1" x14ac:dyDescent="0.2">
      <c r="B100" s="114"/>
    </row>
    <row r="101" spans="2:2" ht="15.75" customHeight="1" x14ac:dyDescent="0.2">
      <c r="B101" s="114"/>
    </row>
    <row r="102" spans="2:2" ht="15.75" customHeight="1" x14ac:dyDescent="0.2">
      <c r="B102" s="114"/>
    </row>
    <row r="103" spans="2:2" ht="15.75" customHeight="1" x14ac:dyDescent="0.2">
      <c r="B103" s="114"/>
    </row>
    <row r="104" spans="2:2" ht="15.75" customHeight="1" x14ac:dyDescent="0.2">
      <c r="B104" s="114"/>
    </row>
    <row r="105" spans="2:2" ht="15.75" customHeight="1" x14ac:dyDescent="0.2">
      <c r="B105" s="114"/>
    </row>
    <row r="106" spans="2:2" ht="15.75" customHeight="1" x14ac:dyDescent="0.2">
      <c r="B106" s="114"/>
    </row>
    <row r="107" spans="2:2" ht="15.75" customHeight="1" x14ac:dyDescent="0.2">
      <c r="B107" s="114"/>
    </row>
    <row r="108" spans="2:2" ht="15.75" customHeight="1" x14ac:dyDescent="0.2">
      <c r="B108" s="114"/>
    </row>
    <row r="109" spans="2:2" ht="15.75" customHeight="1" x14ac:dyDescent="0.2">
      <c r="B109" s="114"/>
    </row>
    <row r="110" spans="2:2" ht="15.75" customHeight="1" x14ac:dyDescent="0.2">
      <c r="B110" s="114"/>
    </row>
    <row r="111" spans="2:2" ht="15.75" customHeight="1" x14ac:dyDescent="0.2">
      <c r="B111" s="114"/>
    </row>
    <row r="112" spans="2:2" ht="15.75" customHeight="1" x14ac:dyDescent="0.2">
      <c r="B112" s="114"/>
    </row>
    <row r="113" spans="2:2" ht="15.75" customHeight="1" x14ac:dyDescent="0.2">
      <c r="B113" s="114"/>
    </row>
    <row r="114" spans="2:2" ht="15.75" customHeight="1" x14ac:dyDescent="0.2">
      <c r="B114" s="114"/>
    </row>
    <row r="115" spans="2:2" ht="15.75" customHeight="1" x14ac:dyDescent="0.2">
      <c r="B115" s="114"/>
    </row>
    <row r="116" spans="2:2" ht="15.75" customHeight="1" x14ac:dyDescent="0.2">
      <c r="B116" s="114"/>
    </row>
    <row r="117" spans="2:2" ht="15.75" customHeight="1" x14ac:dyDescent="0.2">
      <c r="B117" s="114"/>
    </row>
    <row r="118" spans="2:2" ht="15.75" customHeight="1" x14ac:dyDescent="0.2">
      <c r="B118" s="114"/>
    </row>
    <row r="119" spans="2:2" ht="15.75" customHeight="1" x14ac:dyDescent="0.2">
      <c r="B119" s="114"/>
    </row>
    <row r="120" spans="2:2" ht="15.75" customHeight="1" x14ac:dyDescent="0.2">
      <c r="B120" s="114"/>
    </row>
    <row r="121" spans="2:2" ht="15.75" customHeight="1" x14ac:dyDescent="0.2">
      <c r="B121" s="114"/>
    </row>
    <row r="122" spans="2:2" ht="15.75" customHeight="1" x14ac:dyDescent="0.2">
      <c r="B122" s="114"/>
    </row>
    <row r="123" spans="2:2" ht="15.75" customHeight="1" x14ac:dyDescent="0.2">
      <c r="B123" s="114"/>
    </row>
    <row r="124" spans="2:2" ht="15.75" customHeight="1" x14ac:dyDescent="0.2">
      <c r="B124" s="114"/>
    </row>
    <row r="125" spans="2:2" ht="15.75" customHeight="1" x14ac:dyDescent="0.2">
      <c r="B125" s="114"/>
    </row>
    <row r="126" spans="2:2" ht="15.75" customHeight="1" x14ac:dyDescent="0.2">
      <c r="B126" s="114"/>
    </row>
    <row r="127" spans="2:2" ht="15.75" customHeight="1" x14ac:dyDescent="0.2">
      <c r="B127" s="114"/>
    </row>
    <row r="128" spans="2:2" ht="15.75" customHeight="1" x14ac:dyDescent="0.2">
      <c r="B128" s="114"/>
    </row>
    <row r="129" spans="2:2" ht="15.75" customHeight="1" x14ac:dyDescent="0.2">
      <c r="B129" s="114"/>
    </row>
    <row r="130" spans="2:2" ht="15.75" customHeight="1" x14ac:dyDescent="0.2">
      <c r="B130" s="114"/>
    </row>
    <row r="131" spans="2:2" ht="15.75" customHeight="1" x14ac:dyDescent="0.2">
      <c r="B131" s="114"/>
    </row>
    <row r="132" spans="2:2" ht="15.75" customHeight="1" x14ac:dyDescent="0.2">
      <c r="B132" s="114"/>
    </row>
    <row r="133" spans="2:2" ht="15.75" customHeight="1" x14ac:dyDescent="0.2">
      <c r="B133" s="114"/>
    </row>
    <row r="134" spans="2:2" ht="15.75" customHeight="1" x14ac:dyDescent="0.2">
      <c r="B134" s="114"/>
    </row>
    <row r="135" spans="2:2" ht="15.75" customHeight="1" x14ac:dyDescent="0.2">
      <c r="B135" s="114"/>
    </row>
    <row r="136" spans="2:2" ht="15.75" customHeight="1" x14ac:dyDescent="0.2">
      <c r="B136" s="114"/>
    </row>
    <row r="137" spans="2:2" ht="15.75" customHeight="1" x14ac:dyDescent="0.2">
      <c r="B137" s="114"/>
    </row>
    <row r="138" spans="2:2" ht="15.75" customHeight="1" x14ac:dyDescent="0.2">
      <c r="B138" s="114"/>
    </row>
    <row r="139" spans="2:2" ht="15.75" customHeight="1" x14ac:dyDescent="0.2">
      <c r="B139" s="114"/>
    </row>
    <row r="140" spans="2:2" ht="15.75" customHeight="1" x14ac:dyDescent="0.2">
      <c r="B140" s="114"/>
    </row>
    <row r="141" spans="2:2" ht="15.75" customHeight="1" x14ac:dyDescent="0.2">
      <c r="B141" s="114"/>
    </row>
    <row r="142" spans="2:2" ht="15.75" customHeight="1" x14ac:dyDescent="0.2">
      <c r="B142" s="114"/>
    </row>
    <row r="143" spans="2:2" ht="15.75" customHeight="1" x14ac:dyDescent="0.2">
      <c r="B143" s="114"/>
    </row>
    <row r="144" spans="2:2" ht="15.75" customHeight="1" x14ac:dyDescent="0.2">
      <c r="B144" s="114"/>
    </row>
    <row r="145" spans="2:2" ht="15.75" customHeight="1" x14ac:dyDescent="0.2">
      <c r="B145" s="114"/>
    </row>
    <row r="146" spans="2:2" ht="15.75" customHeight="1" x14ac:dyDescent="0.2">
      <c r="B146" s="114"/>
    </row>
    <row r="147" spans="2:2" ht="15.75" customHeight="1" x14ac:dyDescent="0.2">
      <c r="B147" s="114"/>
    </row>
    <row r="148" spans="2:2" ht="15.75" customHeight="1" x14ac:dyDescent="0.2">
      <c r="B148" s="114"/>
    </row>
    <row r="149" spans="2:2" ht="15.75" customHeight="1" x14ac:dyDescent="0.2">
      <c r="B149" s="114"/>
    </row>
    <row r="150" spans="2:2" ht="15.75" customHeight="1" x14ac:dyDescent="0.2">
      <c r="B150" s="114"/>
    </row>
    <row r="151" spans="2:2" ht="15.75" customHeight="1" x14ac:dyDescent="0.2">
      <c r="B151" s="114"/>
    </row>
    <row r="152" spans="2:2" ht="15.75" customHeight="1" x14ac:dyDescent="0.2">
      <c r="B152" s="114"/>
    </row>
    <row r="153" spans="2:2" ht="15.75" customHeight="1" x14ac:dyDescent="0.2">
      <c r="B153" s="114"/>
    </row>
    <row r="154" spans="2:2" ht="15.75" customHeight="1" x14ac:dyDescent="0.2">
      <c r="B154" s="114"/>
    </row>
    <row r="155" spans="2:2" ht="15.75" customHeight="1" x14ac:dyDescent="0.2">
      <c r="B155" s="114"/>
    </row>
    <row r="156" spans="2:2" ht="15.75" customHeight="1" x14ac:dyDescent="0.2">
      <c r="B156" s="114"/>
    </row>
    <row r="157" spans="2:2" ht="15.75" customHeight="1" x14ac:dyDescent="0.2">
      <c r="B157" s="114"/>
    </row>
    <row r="158" spans="2:2" ht="15.75" customHeight="1" x14ac:dyDescent="0.2">
      <c r="B158" s="114"/>
    </row>
    <row r="159" spans="2:2" ht="15.75" customHeight="1" x14ac:dyDescent="0.2">
      <c r="B159" s="114"/>
    </row>
    <row r="160" spans="2:2" ht="15.75" customHeight="1" x14ac:dyDescent="0.2">
      <c r="B160" s="114"/>
    </row>
    <row r="161" spans="2:2" ht="15.75" customHeight="1" x14ac:dyDescent="0.2">
      <c r="B161" s="114"/>
    </row>
    <row r="162" spans="2:2" ht="15.75" customHeight="1" x14ac:dyDescent="0.2">
      <c r="B162" s="114"/>
    </row>
    <row r="163" spans="2:2" ht="15.75" customHeight="1" x14ac:dyDescent="0.2">
      <c r="B163" s="114"/>
    </row>
    <row r="164" spans="2:2" ht="15.75" customHeight="1" x14ac:dyDescent="0.2">
      <c r="B164" s="114"/>
    </row>
    <row r="165" spans="2:2" ht="15.75" customHeight="1" x14ac:dyDescent="0.2">
      <c r="B165" s="114"/>
    </row>
    <row r="166" spans="2:2" ht="15.75" customHeight="1" x14ac:dyDescent="0.2">
      <c r="B166" s="114"/>
    </row>
    <row r="167" spans="2:2" ht="15.75" customHeight="1" x14ac:dyDescent="0.2">
      <c r="B167" s="114"/>
    </row>
    <row r="168" spans="2:2" ht="15.75" customHeight="1" x14ac:dyDescent="0.2">
      <c r="B168" s="114"/>
    </row>
    <row r="169" spans="2:2" ht="15.75" customHeight="1" x14ac:dyDescent="0.2">
      <c r="B169" s="114"/>
    </row>
    <row r="170" spans="2:2" ht="15.75" customHeight="1" x14ac:dyDescent="0.2">
      <c r="B170" s="114"/>
    </row>
    <row r="171" spans="2:2" ht="15.75" customHeight="1" x14ac:dyDescent="0.2">
      <c r="B171" s="114"/>
    </row>
    <row r="172" spans="2:2" ht="15.75" customHeight="1" x14ac:dyDescent="0.2">
      <c r="B172" s="114"/>
    </row>
    <row r="173" spans="2:2" ht="15.75" customHeight="1" x14ac:dyDescent="0.2">
      <c r="B173" s="114"/>
    </row>
    <row r="174" spans="2:2" ht="15.75" customHeight="1" x14ac:dyDescent="0.2">
      <c r="B174" s="114"/>
    </row>
    <row r="175" spans="2:2" ht="15.75" customHeight="1" x14ac:dyDescent="0.2">
      <c r="B175" s="114"/>
    </row>
    <row r="176" spans="2:2" ht="15.75" customHeight="1" x14ac:dyDescent="0.2">
      <c r="B176" s="114"/>
    </row>
    <row r="177" spans="2:2" ht="15.75" customHeight="1" x14ac:dyDescent="0.2">
      <c r="B177" s="114"/>
    </row>
    <row r="178" spans="2:2" ht="15.75" customHeight="1" x14ac:dyDescent="0.2">
      <c r="B178" s="114"/>
    </row>
    <row r="179" spans="2:2" ht="15.75" customHeight="1" x14ac:dyDescent="0.2">
      <c r="B179" s="114"/>
    </row>
    <row r="180" spans="2:2" ht="15.75" customHeight="1" x14ac:dyDescent="0.2">
      <c r="B180" s="114"/>
    </row>
    <row r="181" spans="2:2" ht="15.75" customHeight="1" x14ac:dyDescent="0.2">
      <c r="B181" s="114"/>
    </row>
    <row r="182" spans="2:2" ht="15.75" customHeight="1" x14ac:dyDescent="0.2">
      <c r="B182" s="114"/>
    </row>
    <row r="183" spans="2:2" ht="15.75" customHeight="1" x14ac:dyDescent="0.2">
      <c r="B183" s="114"/>
    </row>
    <row r="184" spans="2:2" ht="15.75" customHeight="1" x14ac:dyDescent="0.2">
      <c r="B184" s="114"/>
    </row>
    <row r="185" spans="2:2" ht="15.75" customHeight="1" x14ac:dyDescent="0.2">
      <c r="B185" s="114"/>
    </row>
    <row r="186" spans="2:2" ht="15.75" customHeight="1" x14ac:dyDescent="0.2">
      <c r="B186" s="114"/>
    </row>
    <row r="187" spans="2:2" ht="15.75" customHeight="1" x14ac:dyDescent="0.2">
      <c r="B187" s="114"/>
    </row>
    <row r="188" spans="2:2" ht="15.75" customHeight="1" x14ac:dyDescent="0.2">
      <c r="B188" s="114"/>
    </row>
    <row r="189" spans="2:2" ht="15.75" customHeight="1" x14ac:dyDescent="0.2">
      <c r="B189" s="114"/>
    </row>
    <row r="190" spans="2:2" ht="15.75" customHeight="1" x14ac:dyDescent="0.2">
      <c r="B190" s="114"/>
    </row>
    <row r="191" spans="2:2" ht="15.75" customHeight="1" x14ac:dyDescent="0.2">
      <c r="B191" s="114"/>
    </row>
    <row r="192" spans="2:2" ht="15.75" customHeight="1" x14ac:dyDescent="0.2">
      <c r="B192" s="114"/>
    </row>
    <row r="193" spans="2:2" ht="15.75" customHeight="1" x14ac:dyDescent="0.2">
      <c r="B193" s="114"/>
    </row>
    <row r="194" spans="2:2" ht="15.75" customHeight="1" x14ac:dyDescent="0.2">
      <c r="B194" s="114"/>
    </row>
    <row r="195" spans="2:2" ht="15.75" customHeight="1" x14ac:dyDescent="0.2">
      <c r="B195" s="114"/>
    </row>
    <row r="196" spans="2:2" ht="15.75" customHeight="1" x14ac:dyDescent="0.2">
      <c r="B196" s="114"/>
    </row>
    <row r="197" spans="2:2" ht="15.75" customHeight="1" x14ac:dyDescent="0.2">
      <c r="B197" s="114"/>
    </row>
    <row r="198" spans="2:2" ht="15.75" customHeight="1" x14ac:dyDescent="0.2">
      <c r="B198" s="114"/>
    </row>
    <row r="199" spans="2:2" ht="15.75" customHeight="1" x14ac:dyDescent="0.2">
      <c r="B199" s="114"/>
    </row>
    <row r="200" spans="2:2" ht="15.75" customHeight="1" x14ac:dyDescent="0.2">
      <c r="B200" s="114"/>
    </row>
    <row r="201" spans="2:2" ht="15.75" customHeight="1" x14ac:dyDescent="0.2">
      <c r="B201" s="114"/>
    </row>
    <row r="202" spans="2:2" ht="15.75" customHeight="1" x14ac:dyDescent="0.2">
      <c r="B202" s="114"/>
    </row>
    <row r="203" spans="2:2" ht="15.75" customHeight="1" x14ac:dyDescent="0.2">
      <c r="B203" s="114"/>
    </row>
    <row r="204" spans="2:2" ht="15.75" customHeight="1" x14ac:dyDescent="0.2">
      <c r="B204" s="114"/>
    </row>
    <row r="205" spans="2:2" ht="15.75" customHeight="1" x14ac:dyDescent="0.2">
      <c r="B205" s="114"/>
    </row>
    <row r="206" spans="2:2" ht="15.75" customHeight="1" x14ac:dyDescent="0.2">
      <c r="B206" s="114"/>
    </row>
    <row r="207" spans="2:2" ht="15.75" customHeight="1" x14ac:dyDescent="0.2">
      <c r="B207" s="114"/>
    </row>
    <row r="208" spans="2:2" ht="15.75" customHeight="1" x14ac:dyDescent="0.2">
      <c r="B208" s="114"/>
    </row>
    <row r="209" spans="2:2" ht="15.75" customHeight="1" x14ac:dyDescent="0.2">
      <c r="B209" s="114"/>
    </row>
    <row r="210" spans="2:2" ht="15.75" customHeight="1" x14ac:dyDescent="0.2">
      <c r="B210" s="114"/>
    </row>
    <row r="211" spans="2:2" ht="15.75" customHeight="1" x14ac:dyDescent="0.2">
      <c r="B211" s="114"/>
    </row>
    <row r="212" spans="2:2" ht="15.75" customHeight="1" x14ac:dyDescent="0.2">
      <c r="B212" s="114"/>
    </row>
    <row r="213" spans="2:2" ht="15.75" customHeight="1" x14ac:dyDescent="0.2">
      <c r="B213" s="114"/>
    </row>
    <row r="214" spans="2:2" ht="15.75" customHeight="1" x14ac:dyDescent="0.2">
      <c r="B214" s="114"/>
    </row>
    <row r="215" spans="2:2" ht="15.75" customHeight="1" x14ac:dyDescent="0.2">
      <c r="B215" s="114"/>
    </row>
    <row r="216" spans="2:2" ht="15.75" customHeight="1" x14ac:dyDescent="0.2">
      <c r="B216" s="114"/>
    </row>
    <row r="217" spans="2:2" ht="15.75" customHeight="1" x14ac:dyDescent="0.2">
      <c r="B217" s="114"/>
    </row>
    <row r="218" spans="2:2" ht="15.75" customHeight="1" x14ac:dyDescent="0.2">
      <c r="B218" s="114"/>
    </row>
    <row r="219" spans="2:2" ht="15.75" customHeight="1" x14ac:dyDescent="0.2">
      <c r="B219" s="114"/>
    </row>
    <row r="220" spans="2:2" ht="15.75" customHeight="1" x14ac:dyDescent="0.2">
      <c r="B220" s="114"/>
    </row>
    <row r="221" spans="2:2" ht="15.75" customHeight="1" x14ac:dyDescent="0.2">
      <c r="B221" s="114"/>
    </row>
    <row r="222" spans="2:2" ht="15.75" customHeight="1" x14ac:dyDescent="0.2">
      <c r="B222" s="114"/>
    </row>
    <row r="223" spans="2:2" ht="15.75" customHeight="1" x14ac:dyDescent="0.2">
      <c r="B223" s="114"/>
    </row>
    <row r="224" spans="2:2" ht="15.75" customHeight="1" x14ac:dyDescent="0.2">
      <c r="B224" s="114"/>
    </row>
    <row r="225" spans="2:2" ht="15.75" customHeight="1" x14ac:dyDescent="0.2">
      <c r="B225" s="114"/>
    </row>
    <row r="226" spans="2:2" ht="15.75" customHeight="1" x14ac:dyDescent="0.2">
      <c r="B226" s="114"/>
    </row>
    <row r="227" spans="2:2" ht="15.75" customHeight="1" x14ac:dyDescent="0.2">
      <c r="B227" s="114"/>
    </row>
    <row r="228" spans="2:2" ht="15.75" customHeight="1" x14ac:dyDescent="0.15"/>
    <row r="229" spans="2:2" ht="15.75" customHeight="1" x14ac:dyDescent="0.15"/>
    <row r="230" spans="2:2" ht="15.75" customHeight="1" x14ac:dyDescent="0.15"/>
    <row r="231" spans="2:2" ht="15.75" customHeight="1" x14ac:dyDescent="0.15"/>
    <row r="232" spans="2:2" ht="15.75" customHeight="1" x14ac:dyDescent="0.15"/>
    <row r="233" spans="2:2" ht="15.75" customHeight="1" x14ac:dyDescent="0.15"/>
    <row r="234" spans="2:2" ht="15.75" customHeight="1" x14ac:dyDescent="0.15"/>
    <row r="235" spans="2:2" ht="15.75" customHeight="1" x14ac:dyDescent="0.15"/>
    <row r="236" spans="2:2" ht="15.75" customHeight="1" x14ac:dyDescent="0.15"/>
    <row r="237" spans="2:2" ht="15.75" customHeight="1" x14ac:dyDescent="0.15"/>
    <row r="238" spans="2:2" ht="15.75" customHeight="1" x14ac:dyDescent="0.15"/>
    <row r="239" spans="2:2" ht="15.75" customHeight="1" x14ac:dyDescent="0.15"/>
    <row r="240" spans="2:2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F2"/>
    <mergeCell ref="B3:F3"/>
    <mergeCell ref="B4:F4"/>
  </mergeCell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1000"/>
  <sheetViews>
    <sheetView workbookViewId="0"/>
  </sheetViews>
  <sheetFormatPr baseColWidth="10" defaultColWidth="12.6640625" defaultRowHeight="15" customHeight="1" x14ac:dyDescent="0.15"/>
  <cols>
    <col min="1" max="1" width="12.1640625" customWidth="1"/>
    <col min="2" max="2" width="12.6640625" customWidth="1"/>
    <col min="3" max="3" width="8.6640625" customWidth="1"/>
    <col min="4" max="4" width="12.33203125" customWidth="1"/>
    <col min="5" max="5" width="28.1640625" customWidth="1"/>
    <col min="6" max="6" width="15.6640625" customWidth="1"/>
    <col min="7" max="7" width="16.6640625" customWidth="1"/>
    <col min="8" max="8" width="8.6640625" customWidth="1"/>
    <col min="9" max="9" width="17.6640625" customWidth="1"/>
    <col min="10" max="10" width="15.6640625" customWidth="1"/>
    <col min="11" max="26" width="14.33203125" customWidth="1"/>
  </cols>
  <sheetData>
    <row r="2" spans="2:10" ht="16" x14ac:dyDescent="0.15">
      <c r="B2" s="259" t="str">
        <f>LAK!B2</f>
        <v>PT. TERANG GARAM SOLUSINDO</v>
      </c>
      <c r="C2" s="233"/>
      <c r="D2" s="233"/>
      <c r="E2" s="233"/>
      <c r="F2" s="233"/>
      <c r="G2" s="233"/>
    </row>
    <row r="3" spans="2:10" ht="16" x14ac:dyDescent="0.15">
      <c r="B3" s="223" t="s">
        <v>124</v>
      </c>
      <c r="C3" s="224"/>
      <c r="D3" s="224"/>
      <c r="E3" s="224"/>
      <c r="F3" s="224"/>
      <c r="G3" s="224"/>
    </row>
    <row r="4" spans="2:10" ht="16" x14ac:dyDescent="0.15">
      <c r="B4" s="260" t="str">
        <f>NRC!B4</f>
        <v>PERIODE</v>
      </c>
      <c r="C4" s="238"/>
      <c r="D4" s="238"/>
      <c r="E4" s="238"/>
      <c r="F4" s="238"/>
      <c r="G4" s="238"/>
    </row>
    <row r="5" spans="2:10" ht="16" x14ac:dyDescent="0.15">
      <c r="B5" s="26"/>
      <c r="C5" s="26"/>
      <c r="D5" s="26"/>
      <c r="E5" s="26"/>
      <c r="F5" s="26"/>
      <c r="G5" s="26"/>
    </row>
    <row r="6" spans="2:10" ht="16" x14ac:dyDescent="0.2">
      <c r="B6" s="21"/>
      <c r="C6" s="21"/>
      <c r="D6" s="21"/>
      <c r="E6" s="115" t="str">
        <f>IF(G4=H4,"BALANCE","CEK KEMBALI")</f>
        <v>BALANCE</v>
      </c>
      <c r="F6" s="116" t="e">
        <f t="shared" ref="F6:G6" si="0">SUM(F8:F25)</f>
        <v>#REF!</v>
      </c>
      <c r="G6" s="116" t="e">
        <f t="shared" si="0"/>
        <v>#REF!</v>
      </c>
    </row>
    <row r="7" spans="2:10" ht="16" x14ac:dyDescent="0.2">
      <c r="B7" s="12" t="s">
        <v>44</v>
      </c>
      <c r="C7" s="12" t="s">
        <v>45</v>
      </c>
      <c r="D7" s="12" t="s">
        <v>47</v>
      </c>
      <c r="E7" s="12" t="s">
        <v>3</v>
      </c>
      <c r="F7" s="12" t="s">
        <v>5</v>
      </c>
      <c r="G7" s="12" t="s">
        <v>6</v>
      </c>
      <c r="I7" s="7" t="s">
        <v>125</v>
      </c>
      <c r="J7" s="31" t="e">
        <f>F15+F17</f>
        <v>#REF!</v>
      </c>
    </row>
    <row r="8" spans="2:10" ht="16" x14ac:dyDescent="0.2">
      <c r="B8" s="117">
        <v>45657</v>
      </c>
      <c r="C8" s="14"/>
      <c r="D8" s="14">
        <v>4101</v>
      </c>
      <c r="E8" s="14" t="str">
        <f t="array" ref="E8">IFERROR(INDEX(COA!$C$5:$C$59,MATCH(D8,COA!$B$5:$B$59,0)),"")</f>
        <v/>
      </c>
      <c r="F8" s="15">
        <f>LR!D9</f>
        <v>-124642329</v>
      </c>
      <c r="G8" s="15"/>
      <c r="I8" s="7" t="s">
        <v>126</v>
      </c>
      <c r="J8" s="31" t="e">
        <f>G14</f>
        <v>#REF!</v>
      </c>
    </row>
    <row r="9" spans="2:10" ht="16" x14ac:dyDescent="0.2">
      <c r="B9" s="14"/>
      <c r="C9" s="14"/>
      <c r="D9" s="14">
        <v>4102</v>
      </c>
      <c r="E9" s="14" t="str">
        <f t="array" ref="E9">IFERROR(INDEX(COA!$C$5:$C$59,MATCH(D9,COA!$B$5:$B$59,0)),"")</f>
        <v/>
      </c>
      <c r="F9" s="15">
        <f>LR!D10</f>
        <v>0</v>
      </c>
      <c r="G9" s="15"/>
      <c r="I9" s="35" t="s">
        <v>78</v>
      </c>
      <c r="J9" s="118" t="e">
        <f>J8-J7</f>
        <v>#REF!</v>
      </c>
    </row>
    <row r="10" spans="2:10" ht="16" x14ac:dyDescent="0.2">
      <c r="B10" s="14"/>
      <c r="C10" s="14"/>
      <c r="D10" s="14">
        <v>4103</v>
      </c>
      <c r="E10" s="14" t="str">
        <f t="array" ref="E10">IFERROR(INDEX(COA!$C$5:$C$59,MATCH(D10,COA!$B$5:$B$59,0)),"")</f>
        <v/>
      </c>
      <c r="F10" s="15">
        <f>LR!D11</f>
        <v>-1663000</v>
      </c>
      <c r="G10" s="15"/>
    </row>
    <row r="11" spans="2:10" ht="16" x14ac:dyDescent="0.2">
      <c r="B11" s="14"/>
      <c r="C11" s="14"/>
      <c r="D11" s="14">
        <v>4104</v>
      </c>
      <c r="E11" s="14" t="str">
        <f t="array" ref="E11">IFERROR(INDEX(COA!$C$5:$C$59,MATCH(D11,COA!$B$5:$B$59,0)),"")</f>
        <v/>
      </c>
      <c r="F11" s="15">
        <f>LR!D12</f>
        <v>0</v>
      </c>
      <c r="G11" s="15"/>
    </row>
    <row r="12" spans="2:10" ht="16" x14ac:dyDescent="0.2">
      <c r="B12" s="14"/>
      <c r="C12" s="14"/>
      <c r="D12" s="14">
        <v>4105</v>
      </c>
      <c r="E12" s="14" t="str">
        <f t="array" ref="E12">IFERROR(INDEX(COA!$C$5:$C$59,MATCH(D12,COA!$B$5:$B$59,0)),"")</f>
        <v/>
      </c>
      <c r="F12" s="15" t="e">
        <f>LR!#REF!</f>
        <v>#REF!</v>
      </c>
      <c r="G12" s="15"/>
    </row>
    <row r="13" spans="2:10" ht="16" x14ac:dyDescent="0.2">
      <c r="B13" s="14"/>
      <c r="C13" s="14"/>
      <c r="D13" s="14">
        <v>4106</v>
      </c>
      <c r="E13" s="14" t="str">
        <f t="array" ref="E13">IFERROR(INDEX(COA!$C$5:$C$59,MATCH(D13,COA!$B$5:$B$59,0)),"")</f>
        <v/>
      </c>
      <c r="F13" s="15" t="e">
        <f>LR!#REF!</f>
        <v>#REF!</v>
      </c>
      <c r="G13" s="15"/>
    </row>
    <row r="14" spans="2:10" ht="16" x14ac:dyDescent="0.2">
      <c r="B14" s="14"/>
      <c r="C14" s="14"/>
      <c r="D14" s="14">
        <v>3102</v>
      </c>
      <c r="E14" s="14" t="str">
        <f t="array" ref="E14">IFERROR(INDEX(COA!$C$5:$C$59,MATCH(D14,COA!$B$5:$B$59,0)),"")</f>
        <v/>
      </c>
      <c r="F14" s="15"/>
      <c r="G14" s="15" t="e">
        <f>SUM(F8:F13)</f>
        <v>#REF!</v>
      </c>
    </row>
    <row r="15" spans="2:10" ht="16" x14ac:dyDescent="0.2">
      <c r="B15" s="117">
        <v>45657</v>
      </c>
      <c r="C15" s="14"/>
      <c r="D15" s="14">
        <v>3102</v>
      </c>
      <c r="E15" s="14" t="str">
        <f t="array" ref="E15">IFERROR(INDEX(COA!$C$5:$C$59,MATCH(D15,COA!$B$5:$B$59,0)),"")</f>
        <v/>
      </c>
      <c r="F15" s="15">
        <f>SUM(G16)</f>
        <v>-150000</v>
      </c>
      <c r="G15" s="15"/>
    </row>
    <row r="16" spans="2:10" ht="16" x14ac:dyDescent="0.2">
      <c r="B16" s="14"/>
      <c r="C16" s="14"/>
      <c r="D16" s="14">
        <v>5101</v>
      </c>
      <c r="E16" s="14" t="str">
        <f t="array" ref="E16">IFERROR(INDEX(COA!$C$5:$C$59,MATCH(D16,COA!$B$5:$B$59,0)),"")</f>
        <v>Beban Gaji shoepolice</v>
      </c>
      <c r="F16" s="15"/>
      <c r="G16" s="15">
        <f>LR!D16</f>
        <v>-150000</v>
      </c>
    </row>
    <row r="17" spans="2:7" ht="16" x14ac:dyDescent="0.2">
      <c r="B17" s="117">
        <v>45657</v>
      </c>
      <c r="C17" s="14"/>
      <c r="D17" s="14">
        <v>3102</v>
      </c>
      <c r="E17" s="14" t="str">
        <f t="array" ref="E17">IFERROR(INDEX(COA!$C$5:$C$59,MATCH(D17,COA!$B$5:$B$59,0)),"")</f>
        <v/>
      </c>
      <c r="F17" s="15" t="e">
        <f>SUM(G18:G22)</f>
        <v>#REF!</v>
      </c>
      <c r="G17" s="15"/>
    </row>
    <row r="18" spans="2:7" ht="16" x14ac:dyDescent="0.2">
      <c r="B18" s="14"/>
      <c r="C18" s="14"/>
      <c r="D18" s="14">
        <v>6101</v>
      </c>
      <c r="E18" s="14" t="str">
        <f t="array" ref="E18">IFERROR(INDEX(COA!$C$5:$C$59,MATCH(D18,COA!$B$5:$B$59,0)),"")</f>
        <v/>
      </c>
      <c r="F18" s="15"/>
      <c r="G18" s="15" t="e">
        <f>LR!#REF!</f>
        <v>#REF!</v>
      </c>
    </row>
    <row r="19" spans="2:7" ht="16" x14ac:dyDescent="0.2">
      <c r="B19" s="14"/>
      <c r="C19" s="14"/>
      <c r="D19" s="14">
        <v>6102</v>
      </c>
      <c r="E19" s="14" t="str">
        <f t="array" ref="E19">IFERROR(INDEX(COA!$C$5:$C$59,MATCH(D19,COA!$B$5:$B$59,0)),"")</f>
        <v/>
      </c>
      <c r="F19" s="15"/>
      <c r="G19" s="15" t="e">
        <f>LR!#REF!</f>
        <v>#REF!</v>
      </c>
    </row>
    <row r="20" spans="2:7" ht="16" x14ac:dyDescent="0.2">
      <c r="B20" s="14"/>
      <c r="C20" s="14"/>
      <c r="D20" s="14">
        <v>6103</v>
      </c>
      <c r="E20" s="14" t="str">
        <f t="array" ref="E20">IFERROR(INDEX(COA!$C$5:$C$59,MATCH(D20,COA!$B$5:$B$59,0)),"")</f>
        <v/>
      </c>
      <c r="F20" s="15"/>
      <c r="G20" s="15" t="e">
        <f>LR!#REF!</f>
        <v>#REF!</v>
      </c>
    </row>
    <row r="21" spans="2:7" ht="15.75" customHeight="1" x14ac:dyDescent="0.2">
      <c r="B21" s="14"/>
      <c r="C21" s="14"/>
      <c r="D21" s="14">
        <v>6107</v>
      </c>
      <c r="E21" s="14" t="str">
        <f t="array" ref="E21">IFERROR(INDEX(COA!$C$5:$C$59,MATCH(D21,COA!$B$5:$B$59,0)),"")</f>
        <v/>
      </c>
      <c r="F21" s="14"/>
      <c r="G21" s="15" t="e">
        <f>LR!#REF!</f>
        <v>#REF!</v>
      </c>
    </row>
    <row r="22" spans="2:7" ht="15.75" customHeight="1" x14ac:dyDescent="0.2">
      <c r="B22" s="14"/>
      <c r="C22" s="14"/>
      <c r="D22" s="14">
        <v>6108</v>
      </c>
      <c r="E22" s="14" t="str">
        <f t="array" ref="E22">IFERROR(INDEX(COA!$C$5:$C$59,MATCH(D22,COA!$B$5:$B$59,0)),"")</f>
        <v/>
      </c>
      <c r="F22" s="14"/>
      <c r="G22" s="15" t="e">
        <f>LR!#REF!</f>
        <v>#REF!</v>
      </c>
    </row>
    <row r="23" spans="2:7" ht="15.75" customHeight="1" x14ac:dyDescent="0.2">
      <c r="B23" s="117">
        <v>45657</v>
      </c>
      <c r="C23" s="14"/>
      <c r="D23" s="14">
        <v>3102</v>
      </c>
      <c r="E23" s="14" t="str">
        <f t="array" ref="E23">IFERROR(INDEX(COA!$C$5:$C$59,MATCH(D23,COA!$B$5:$B$59,0)),"")</f>
        <v/>
      </c>
      <c r="F23" s="15" t="e">
        <f>J9</f>
        <v>#REF!</v>
      </c>
      <c r="G23" s="14"/>
    </row>
    <row r="24" spans="2:7" ht="15.75" customHeight="1" x14ac:dyDescent="0.2">
      <c r="B24" s="14"/>
      <c r="C24" s="14"/>
      <c r="D24" s="14">
        <v>3102</v>
      </c>
      <c r="E24" s="14" t="str">
        <f t="array" ref="E24">IFERROR(INDEX(COA!$C$5:$C$59,MATCH(D24,COA!$B$5:$B$59,0)),"")</f>
        <v/>
      </c>
      <c r="F24" s="14"/>
      <c r="G24" s="15" t="e">
        <f>F23</f>
        <v>#REF!</v>
      </c>
    </row>
    <row r="25" spans="2:7" ht="15.75" customHeight="1" x14ac:dyDescent="0.2">
      <c r="B25" s="21"/>
      <c r="C25" s="21"/>
      <c r="D25" s="21"/>
      <c r="E25" s="21" t="str">
        <f t="array" ref="E25">IFERROR(INDEX(COA!$C$5:$C$59,MATCH(D25,COA!$B$5:$B$59,0)),"")</f>
        <v/>
      </c>
      <c r="F25" s="21"/>
      <c r="G25" s="21"/>
    </row>
    <row r="26" spans="2:7" ht="15.75" customHeight="1" x14ac:dyDescent="0.2">
      <c r="B26" s="21"/>
      <c r="C26" s="21"/>
      <c r="D26" s="21"/>
      <c r="E26" s="21"/>
    </row>
    <row r="27" spans="2:7" ht="15.75" customHeight="1" x14ac:dyDescent="0.2">
      <c r="B27" s="21"/>
      <c r="C27" s="21"/>
      <c r="D27" s="21"/>
      <c r="E27" s="21"/>
    </row>
    <row r="28" spans="2:7" ht="15.75" customHeight="1" x14ac:dyDescent="0.2">
      <c r="B28" s="21"/>
      <c r="C28" s="21"/>
      <c r="D28" s="21"/>
      <c r="E28" s="21"/>
    </row>
    <row r="29" spans="2:7" ht="15.75" customHeight="1" x14ac:dyDescent="0.2">
      <c r="B29" s="21"/>
      <c r="C29" s="21"/>
      <c r="D29" s="21"/>
      <c r="E29" s="21"/>
      <c r="F29" s="21"/>
      <c r="G29" s="21"/>
    </row>
    <row r="30" spans="2:7" ht="15.75" customHeight="1" x14ac:dyDescent="0.2">
      <c r="B30" s="21"/>
      <c r="C30" s="21"/>
      <c r="D30" s="21"/>
      <c r="E30" s="21"/>
      <c r="F30" s="21"/>
      <c r="G30" s="21"/>
    </row>
    <row r="31" spans="2:7" ht="15.75" customHeight="1" x14ac:dyDescent="0.2">
      <c r="B31" s="21"/>
      <c r="C31" s="21"/>
      <c r="D31" s="21"/>
      <c r="E31" s="21"/>
      <c r="F31" s="21"/>
      <c r="G31" s="21"/>
    </row>
    <row r="32" spans="2:7" ht="15.75" customHeight="1" x14ac:dyDescent="0.2">
      <c r="B32" s="21"/>
      <c r="C32" s="21"/>
      <c r="D32" s="21"/>
      <c r="E32" s="21"/>
      <c r="F32" s="21"/>
      <c r="G32" s="21"/>
    </row>
    <row r="33" spans="2:7" ht="15.75" customHeight="1" x14ac:dyDescent="0.2">
      <c r="B33" s="21"/>
      <c r="C33" s="21"/>
      <c r="D33" s="21"/>
      <c r="E33" s="21"/>
      <c r="F33" s="21"/>
      <c r="G33" s="21"/>
    </row>
    <row r="34" spans="2:7" ht="15.75" customHeight="1" x14ac:dyDescent="0.2">
      <c r="B34" s="21"/>
      <c r="C34" s="21"/>
      <c r="D34" s="21"/>
      <c r="E34" s="21"/>
      <c r="F34" s="21"/>
      <c r="G34" s="21"/>
    </row>
    <row r="35" spans="2:7" ht="15.75" customHeight="1" x14ac:dyDescent="0.2">
      <c r="B35" s="21"/>
      <c r="C35" s="21"/>
      <c r="D35" s="21"/>
      <c r="E35" s="21"/>
      <c r="F35" s="21"/>
      <c r="G35" s="21"/>
    </row>
    <row r="36" spans="2:7" ht="15.75" customHeight="1" x14ac:dyDescent="0.2">
      <c r="B36" s="21"/>
      <c r="C36" s="21"/>
      <c r="D36" s="21"/>
      <c r="E36" s="21"/>
      <c r="F36" s="21"/>
      <c r="G36" s="21"/>
    </row>
    <row r="37" spans="2:7" ht="15.75" customHeight="1" x14ac:dyDescent="0.2">
      <c r="B37" s="21"/>
      <c r="C37" s="21"/>
      <c r="D37" s="21"/>
      <c r="E37" s="21"/>
      <c r="F37" s="21"/>
      <c r="G37" s="21"/>
    </row>
    <row r="38" spans="2:7" ht="15.75" customHeight="1" x14ac:dyDescent="0.2">
      <c r="B38" s="21"/>
      <c r="C38" s="21"/>
      <c r="D38" s="21"/>
      <c r="E38" s="21"/>
      <c r="F38" s="21"/>
      <c r="G38" s="21"/>
    </row>
    <row r="39" spans="2:7" ht="15.75" customHeight="1" x14ac:dyDescent="0.2">
      <c r="B39" s="21"/>
      <c r="C39" s="21"/>
      <c r="D39" s="21"/>
      <c r="E39" s="21"/>
      <c r="F39" s="21"/>
      <c r="G39" s="21"/>
    </row>
    <row r="40" spans="2:7" ht="15.75" customHeight="1" x14ac:dyDescent="0.2">
      <c r="B40" s="21"/>
      <c r="C40" s="21"/>
      <c r="D40" s="21"/>
      <c r="E40" s="21"/>
      <c r="F40" s="21"/>
      <c r="G40" s="21"/>
    </row>
    <row r="41" spans="2:7" ht="15.75" customHeight="1" x14ac:dyDescent="0.2">
      <c r="B41" s="21"/>
      <c r="C41" s="21"/>
      <c r="D41" s="21"/>
      <c r="E41" s="21"/>
      <c r="F41" s="21"/>
      <c r="G41" s="21"/>
    </row>
    <row r="42" spans="2:7" ht="15.75" customHeight="1" x14ac:dyDescent="0.2">
      <c r="B42" s="21"/>
      <c r="C42" s="21"/>
      <c r="D42" s="21"/>
      <c r="E42" s="21"/>
      <c r="F42" s="21"/>
      <c r="G42" s="21"/>
    </row>
    <row r="43" spans="2:7" ht="15.75" customHeight="1" x14ac:dyDescent="0.2">
      <c r="B43" s="21"/>
      <c r="C43" s="21"/>
      <c r="D43" s="21"/>
      <c r="E43" s="21"/>
      <c r="F43" s="21"/>
      <c r="G43" s="21"/>
    </row>
    <row r="44" spans="2:7" ht="15.75" customHeight="1" x14ac:dyDescent="0.2">
      <c r="B44" s="21"/>
      <c r="C44" s="21"/>
      <c r="D44" s="21"/>
      <c r="E44" s="21"/>
      <c r="F44" s="21"/>
      <c r="G44" s="21"/>
    </row>
    <row r="45" spans="2:7" ht="15.75" customHeight="1" x14ac:dyDescent="0.2">
      <c r="B45" s="21"/>
      <c r="C45" s="21"/>
      <c r="D45" s="21"/>
      <c r="E45" s="21"/>
      <c r="F45" s="21"/>
      <c r="G45" s="21"/>
    </row>
    <row r="46" spans="2:7" ht="15.75" customHeight="1" x14ac:dyDescent="0.2">
      <c r="B46" s="21"/>
      <c r="C46" s="21"/>
      <c r="D46" s="21"/>
      <c r="E46" s="21"/>
      <c r="F46" s="21"/>
      <c r="G46" s="21"/>
    </row>
    <row r="47" spans="2:7" ht="15.75" customHeight="1" x14ac:dyDescent="0.2">
      <c r="B47" s="21"/>
      <c r="C47" s="21"/>
      <c r="D47" s="21"/>
      <c r="E47" s="21"/>
      <c r="F47" s="21"/>
      <c r="G47" s="21"/>
    </row>
    <row r="48" spans="2:7" ht="15.75" customHeight="1" x14ac:dyDescent="0.2">
      <c r="B48" s="21"/>
      <c r="C48" s="21"/>
      <c r="D48" s="21"/>
      <c r="E48" s="21"/>
      <c r="F48" s="21"/>
      <c r="G48" s="21"/>
    </row>
    <row r="49" spans="2:7" ht="15.75" customHeight="1" x14ac:dyDescent="0.2">
      <c r="B49" s="21"/>
      <c r="C49" s="21"/>
      <c r="D49" s="21"/>
      <c r="E49" s="21"/>
      <c r="F49" s="21"/>
      <c r="G49" s="21"/>
    </row>
    <row r="50" spans="2:7" ht="15.75" customHeight="1" x14ac:dyDescent="0.2">
      <c r="B50" s="21"/>
      <c r="C50" s="21"/>
      <c r="D50" s="21"/>
      <c r="E50" s="21"/>
      <c r="F50" s="21"/>
      <c r="G50" s="21"/>
    </row>
    <row r="51" spans="2:7" ht="15.75" customHeight="1" x14ac:dyDescent="0.2">
      <c r="B51" s="21"/>
      <c r="C51" s="21"/>
      <c r="D51" s="21"/>
      <c r="E51" s="21"/>
      <c r="F51" s="21"/>
      <c r="G51" s="21"/>
    </row>
    <row r="52" spans="2:7" ht="15.75" customHeight="1" x14ac:dyDescent="0.2">
      <c r="B52" s="21"/>
      <c r="C52" s="21"/>
      <c r="D52" s="21"/>
      <c r="E52" s="21"/>
      <c r="F52" s="21"/>
      <c r="G52" s="21"/>
    </row>
    <row r="53" spans="2:7" ht="15.75" customHeight="1" x14ac:dyDescent="0.2">
      <c r="B53" s="21"/>
      <c r="C53" s="21"/>
      <c r="D53" s="21"/>
      <c r="E53" s="21"/>
      <c r="F53" s="21"/>
      <c r="G53" s="21"/>
    </row>
    <row r="54" spans="2:7" ht="15.75" customHeight="1" x14ac:dyDescent="0.2">
      <c r="B54" s="21"/>
      <c r="C54" s="21"/>
      <c r="D54" s="21"/>
      <c r="E54" s="21"/>
      <c r="F54" s="21"/>
      <c r="G54" s="21"/>
    </row>
    <row r="55" spans="2:7" ht="15.75" customHeight="1" x14ac:dyDescent="0.2">
      <c r="B55" s="21"/>
      <c r="C55" s="21"/>
      <c r="D55" s="21"/>
      <c r="E55" s="21"/>
      <c r="F55" s="21"/>
      <c r="G55" s="21"/>
    </row>
    <row r="56" spans="2:7" ht="15.75" customHeight="1" x14ac:dyDescent="0.2">
      <c r="B56" s="21"/>
      <c r="C56" s="21"/>
      <c r="D56" s="21"/>
      <c r="E56" s="21"/>
      <c r="F56" s="21"/>
      <c r="G56" s="21"/>
    </row>
    <row r="57" spans="2:7" ht="15.75" customHeight="1" x14ac:dyDescent="0.2">
      <c r="B57" s="21"/>
      <c r="C57" s="21"/>
      <c r="D57" s="21"/>
      <c r="E57" s="21"/>
      <c r="F57" s="21"/>
      <c r="G57" s="21"/>
    </row>
    <row r="58" spans="2:7" ht="15.75" customHeight="1" x14ac:dyDescent="0.2">
      <c r="B58" s="21"/>
      <c r="C58" s="21"/>
      <c r="D58" s="21"/>
      <c r="E58" s="21"/>
      <c r="F58" s="21"/>
      <c r="G58" s="21"/>
    </row>
    <row r="59" spans="2:7" ht="15.75" customHeight="1" x14ac:dyDescent="0.2">
      <c r="B59" s="21"/>
      <c r="C59" s="21"/>
      <c r="D59" s="21"/>
      <c r="E59" s="21"/>
      <c r="F59" s="21"/>
      <c r="G59" s="21"/>
    </row>
    <row r="60" spans="2:7" ht="15.75" customHeight="1" x14ac:dyDescent="0.2">
      <c r="B60" s="21"/>
      <c r="C60" s="21"/>
      <c r="D60" s="21"/>
      <c r="E60" s="21"/>
      <c r="F60" s="21"/>
      <c r="G60" s="21"/>
    </row>
    <row r="61" spans="2:7" ht="15.75" customHeight="1" x14ac:dyDescent="0.2">
      <c r="B61" s="21"/>
      <c r="C61" s="21"/>
      <c r="D61" s="21"/>
      <c r="E61" s="21"/>
      <c r="F61" s="21"/>
      <c r="G61" s="21"/>
    </row>
    <row r="62" spans="2:7" ht="15.75" customHeight="1" x14ac:dyDescent="0.2">
      <c r="B62" s="21"/>
      <c r="C62" s="21"/>
      <c r="D62" s="21"/>
      <c r="E62" s="21"/>
      <c r="F62" s="21"/>
      <c r="G62" s="21"/>
    </row>
    <row r="63" spans="2:7" ht="15.75" customHeight="1" x14ac:dyDescent="0.2">
      <c r="B63" s="21"/>
      <c r="C63" s="21"/>
      <c r="D63" s="21"/>
      <c r="E63" s="21"/>
      <c r="F63" s="21"/>
      <c r="G63" s="21"/>
    </row>
    <row r="64" spans="2:7" ht="15.75" customHeight="1" x14ac:dyDescent="0.2">
      <c r="B64" s="21"/>
      <c r="C64" s="21"/>
      <c r="D64" s="21"/>
      <c r="E64" s="21"/>
      <c r="F64" s="21"/>
      <c r="G64" s="21"/>
    </row>
    <row r="65" spans="2:7" ht="15.75" customHeight="1" x14ac:dyDescent="0.2">
      <c r="B65" s="21"/>
      <c r="C65" s="21"/>
      <c r="D65" s="21"/>
      <c r="E65" s="21"/>
      <c r="F65" s="21"/>
      <c r="G65" s="21"/>
    </row>
    <row r="66" spans="2:7" ht="15.75" customHeight="1" x14ac:dyDescent="0.2">
      <c r="B66" s="21"/>
      <c r="C66" s="21"/>
      <c r="D66" s="21"/>
      <c r="E66" s="21"/>
      <c r="F66" s="21"/>
      <c r="G66" s="21"/>
    </row>
    <row r="67" spans="2:7" ht="15.75" customHeight="1" x14ac:dyDescent="0.2">
      <c r="B67" s="21"/>
      <c r="C67" s="21"/>
      <c r="D67" s="21"/>
      <c r="E67" s="21"/>
      <c r="F67" s="21"/>
      <c r="G67" s="21"/>
    </row>
    <row r="68" spans="2:7" ht="15.75" customHeight="1" x14ac:dyDescent="0.2">
      <c r="B68" s="21"/>
      <c r="C68" s="21"/>
      <c r="D68" s="21"/>
      <c r="E68" s="21"/>
      <c r="F68" s="21"/>
      <c r="G68" s="21"/>
    </row>
    <row r="69" spans="2:7" ht="15.75" customHeight="1" x14ac:dyDescent="0.2">
      <c r="B69" s="21"/>
      <c r="C69" s="21"/>
      <c r="D69" s="21"/>
      <c r="E69" s="21"/>
      <c r="F69" s="21"/>
      <c r="G69" s="21"/>
    </row>
    <row r="70" spans="2:7" ht="15.75" customHeight="1" x14ac:dyDescent="0.2">
      <c r="B70" s="21"/>
      <c r="C70" s="21"/>
      <c r="D70" s="21"/>
      <c r="E70" s="21"/>
      <c r="F70" s="21"/>
      <c r="G70" s="21"/>
    </row>
    <row r="71" spans="2:7" ht="15.75" customHeight="1" x14ac:dyDescent="0.2">
      <c r="B71" s="21"/>
      <c r="C71" s="21"/>
      <c r="D71" s="21"/>
      <c r="E71" s="21"/>
      <c r="F71" s="21"/>
      <c r="G71" s="21"/>
    </row>
    <row r="72" spans="2:7" ht="15.75" customHeight="1" x14ac:dyDescent="0.2">
      <c r="B72" s="21"/>
      <c r="C72" s="21"/>
      <c r="E72" s="21"/>
    </row>
    <row r="73" spans="2:7" ht="15.75" customHeight="1" x14ac:dyDescent="0.2">
      <c r="B73" s="21"/>
      <c r="C73" s="21"/>
      <c r="E73" s="21"/>
    </row>
    <row r="74" spans="2:7" ht="15.75" customHeight="1" x14ac:dyDescent="0.2">
      <c r="B74" s="21"/>
      <c r="C74" s="21"/>
      <c r="E74" s="21"/>
    </row>
    <row r="75" spans="2:7" ht="15.75" customHeight="1" x14ac:dyDescent="0.2">
      <c r="E75" s="21"/>
    </row>
    <row r="76" spans="2:7" ht="15.75" customHeight="1" x14ac:dyDescent="0.2">
      <c r="E76" s="21"/>
    </row>
    <row r="77" spans="2:7" ht="15.75" customHeight="1" x14ac:dyDescent="0.2">
      <c r="E77" s="21"/>
    </row>
    <row r="78" spans="2:7" ht="15.75" customHeight="1" x14ac:dyDescent="0.2">
      <c r="E78" s="21"/>
    </row>
    <row r="79" spans="2:7" ht="15.75" customHeight="1" x14ac:dyDescent="0.2">
      <c r="E79" s="21"/>
    </row>
    <row r="80" spans="2:7" ht="15.75" customHeight="1" x14ac:dyDescent="0.2">
      <c r="E80" s="21"/>
    </row>
    <row r="81" spans="5:5" ht="15.75" customHeight="1" x14ac:dyDescent="0.2">
      <c r="E81" s="21"/>
    </row>
    <row r="82" spans="5:5" ht="15.75" customHeight="1" x14ac:dyDescent="0.2">
      <c r="E82" s="21"/>
    </row>
    <row r="83" spans="5:5" ht="15.75" customHeight="1" x14ac:dyDescent="0.15"/>
    <row r="84" spans="5:5" ht="15.75" customHeight="1" x14ac:dyDescent="0.15"/>
    <row r="85" spans="5:5" ht="15.75" customHeight="1" x14ac:dyDescent="0.15"/>
    <row r="86" spans="5:5" ht="15.75" customHeight="1" x14ac:dyDescent="0.15"/>
    <row r="87" spans="5:5" ht="15.75" customHeight="1" x14ac:dyDescent="0.15"/>
    <row r="88" spans="5:5" ht="15.75" customHeight="1" x14ac:dyDescent="0.15"/>
    <row r="89" spans="5:5" ht="15.75" customHeight="1" x14ac:dyDescent="0.15"/>
    <row r="90" spans="5:5" ht="15.75" customHeight="1" x14ac:dyDescent="0.15"/>
    <row r="91" spans="5:5" ht="15.75" customHeight="1" x14ac:dyDescent="0.15"/>
    <row r="92" spans="5:5" ht="15.75" customHeight="1" x14ac:dyDescent="0.15"/>
    <row r="93" spans="5:5" ht="15.75" customHeight="1" x14ac:dyDescent="0.15"/>
    <row r="94" spans="5:5" ht="15.75" customHeight="1" x14ac:dyDescent="0.15"/>
    <row r="95" spans="5:5" ht="15.75" customHeight="1" x14ac:dyDescent="0.15"/>
    <row r="96" spans="5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G2"/>
    <mergeCell ref="B3:G3"/>
    <mergeCell ref="B4:G4"/>
  </mergeCells>
  <dataValidations count="1">
    <dataValidation type="list" allowBlank="1" showErrorMessage="1" sqref="D8:D25 B26:B28 D29:D61" xr:uid="{00000000-0002-0000-0A00-000000000000}">
      <formula1>KODEAKUN</formula1>
    </dataValidation>
  </dataValidations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1000"/>
  <sheetViews>
    <sheetView workbookViewId="0">
      <selection activeCell="H20" sqref="H20"/>
    </sheetView>
  </sheetViews>
  <sheetFormatPr baseColWidth="10" defaultColWidth="12.6640625" defaultRowHeight="15" customHeight="1" x14ac:dyDescent="0.15"/>
  <cols>
    <col min="1" max="1" width="12.1640625" customWidth="1"/>
    <col min="2" max="2" width="13.1640625" customWidth="1"/>
    <col min="3" max="3" width="40.1640625" customWidth="1"/>
    <col min="4" max="4" width="17.1640625" customWidth="1"/>
    <col min="5" max="5" width="21.33203125" customWidth="1"/>
    <col min="6" max="6" width="8.6640625" customWidth="1"/>
    <col min="7" max="26" width="14.33203125" customWidth="1"/>
  </cols>
  <sheetData>
    <row r="2" spans="2:5" ht="16" x14ac:dyDescent="0.15">
      <c r="B2" s="259" t="str">
        <f>JP!B2</f>
        <v>PT. TERANG GARAM SOLUSINDO</v>
      </c>
      <c r="C2" s="233"/>
      <c r="D2" s="233"/>
      <c r="E2" s="233"/>
    </row>
    <row r="3" spans="2:5" ht="16" x14ac:dyDescent="0.15">
      <c r="B3" s="223" t="s">
        <v>127</v>
      </c>
      <c r="C3" s="224"/>
      <c r="D3" s="224"/>
      <c r="E3" s="224"/>
    </row>
    <row r="4" spans="2:5" ht="16" x14ac:dyDescent="0.15">
      <c r="B4" s="260" t="str">
        <f>JP!B4</f>
        <v>PERIODE</v>
      </c>
      <c r="C4" s="238"/>
      <c r="D4" s="238"/>
      <c r="E4" s="238"/>
    </row>
    <row r="5" spans="2:5" ht="16" x14ac:dyDescent="0.15">
      <c r="B5" s="26"/>
      <c r="C5" s="26"/>
      <c r="D5" s="26"/>
      <c r="E5" s="26"/>
    </row>
    <row r="6" spans="2:5" ht="16" x14ac:dyDescent="0.2">
      <c r="B6" s="21"/>
      <c r="C6" s="27" t="str">
        <f>IF(G4=H4,"BALANCE","CEK KEMBALI")</f>
        <v>BALANCE</v>
      </c>
      <c r="D6" s="119">
        <f t="shared" ref="D6:E6" si="0">SUM(D8:D24)</f>
        <v>-515685</v>
      </c>
      <c r="E6" s="119" t="e">
        <f t="shared" si="0"/>
        <v>#N/A</v>
      </c>
    </row>
    <row r="7" spans="2:5" ht="16" x14ac:dyDescent="0.15">
      <c r="B7" s="12" t="s">
        <v>47</v>
      </c>
      <c r="C7" s="12" t="s">
        <v>3</v>
      </c>
      <c r="D7" s="12" t="s">
        <v>5</v>
      </c>
      <c r="E7" s="12" t="s">
        <v>6</v>
      </c>
    </row>
    <row r="8" spans="2:5" ht="16" x14ac:dyDescent="0.2">
      <c r="B8" s="14">
        <v>1101</v>
      </c>
      <c r="C8" s="14" t="str">
        <f t="array" ref="C8">IFERROR(INDEX(COA!$C$5:$C$59,MATCH(B8,COA!$B$5:$B$59,0)),"")</f>
        <v>Kas</v>
      </c>
      <c r="D8" s="15">
        <f>NRC!D8</f>
        <v>0</v>
      </c>
      <c r="E8" s="15"/>
    </row>
    <row r="9" spans="2:5" ht="16" x14ac:dyDescent="0.2">
      <c r="B9" s="14">
        <v>1102</v>
      </c>
      <c r="C9" s="14" t="str">
        <f t="array" ref="C9">IFERROR(INDEX(COA!$C$5:$C$59,MATCH(B9,COA!$B$5:$B$59,0)),"")</f>
        <v>Kas Di Bank</v>
      </c>
      <c r="D9" s="15">
        <f>NRC!D9</f>
        <v>0</v>
      </c>
      <c r="E9" s="15"/>
    </row>
    <row r="10" spans="2:5" ht="16" x14ac:dyDescent="0.2">
      <c r="B10" s="14">
        <v>1103</v>
      </c>
      <c r="C10" s="14" t="str">
        <f t="array" ref="C10">IFERROR(INDEX(COA!$C$5:$C$59,MATCH(B10,COA!$B$5:$B$59,0)),"")</f>
        <v>Petty Cash</v>
      </c>
      <c r="D10" s="15">
        <f>NRC!D10</f>
        <v>0</v>
      </c>
      <c r="E10" s="15"/>
    </row>
    <row r="11" spans="2:5" ht="16" x14ac:dyDescent="0.2">
      <c r="B11" s="14">
        <v>1104</v>
      </c>
      <c r="C11" s="14" t="str">
        <f t="array" ref="C11">IFERROR(INDEX(COA!$C$5:$C$59,MATCH(B11,COA!$B$5:$B$59,0)),"")</f>
        <v>Piutang</v>
      </c>
      <c r="D11" s="15">
        <f>NRC!D11</f>
        <v>0</v>
      </c>
      <c r="E11" s="15"/>
    </row>
    <row r="12" spans="2:5" ht="16" x14ac:dyDescent="0.2">
      <c r="B12" s="14">
        <v>1105</v>
      </c>
      <c r="C12" s="14" t="str">
        <f t="array" ref="C12">IFERROR(INDEX(COA!$C$5:$C$59,MATCH(B12,COA!$B$5:$B$59,0)),"")</f>
        <v>Persediaan</v>
      </c>
      <c r="D12" s="15">
        <f>NRC!D12</f>
        <v>0</v>
      </c>
      <c r="E12" s="15"/>
    </row>
    <row r="13" spans="2:5" ht="16" x14ac:dyDescent="0.2">
      <c r="B13" s="14">
        <v>1106</v>
      </c>
      <c r="C13" s="14" t="str">
        <f t="array" ref="C13">IFERROR(INDEX(COA!$C$5:$C$59,MATCH(B13,COA!$B$5:$B$59,0)),"")</f>
        <v>Perlengkapan</v>
      </c>
      <c r="D13" s="15">
        <f>NRC!D13</f>
        <v>0</v>
      </c>
      <c r="E13" s="15"/>
    </row>
    <row r="14" spans="2:5" ht="16" x14ac:dyDescent="0.2">
      <c r="B14" s="14">
        <v>1201</v>
      </c>
      <c r="C14" s="14" t="str">
        <f t="array" ref="C14">IFERROR(INDEX(COA!$C$5:$C$59,MATCH(B14,COA!$B$5:$B$59,0)),"")</f>
        <v>Peralatan</v>
      </c>
      <c r="D14" s="15">
        <f>NRC!D14</f>
        <v>-515685</v>
      </c>
      <c r="E14" s="15"/>
    </row>
    <row r="15" spans="2:5" ht="16" x14ac:dyDescent="0.2">
      <c r="B15" s="14">
        <v>2101</v>
      </c>
      <c r="C15" s="14" t="str">
        <f t="array" ref="C15">IFERROR(INDEX(COA!$C$5:$C$59,MATCH(B15,COA!$B$5:$B$59,0)),"")</f>
        <v/>
      </c>
      <c r="D15" s="15"/>
      <c r="E15" s="15">
        <f>NRC!D19</f>
        <v>0</v>
      </c>
    </row>
    <row r="16" spans="2:5" ht="16" x14ac:dyDescent="0.2">
      <c r="B16" s="14">
        <v>2102</v>
      </c>
      <c r="C16" s="14" t="str">
        <f t="array" ref="C16">IFERROR(INDEX(COA!$C$5:$C$59,MATCH(B16,COA!$B$5:$B$59,0)),"")</f>
        <v/>
      </c>
      <c r="D16" s="15"/>
      <c r="E16" s="15">
        <f>NRC!D20</f>
        <v>-105901167</v>
      </c>
    </row>
    <row r="17" spans="2:5" ht="16" x14ac:dyDescent="0.2">
      <c r="B17" s="14">
        <v>3101</v>
      </c>
      <c r="C17" s="14" t="str">
        <f t="array" ref="C17">IFERROR(INDEX(COA!$C$5:$C$59,MATCH(B17,COA!$B$5:$B$59,0)),"")</f>
        <v/>
      </c>
      <c r="D17" s="15"/>
      <c r="E17" s="15" t="e">
        <f>NRC!D24</f>
        <v>#N/A</v>
      </c>
    </row>
    <row r="18" spans="2:5" ht="16" x14ac:dyDescent="0.2">
      <c r="B18" s="21"/>
      <c r="C18" s="21" t="str">
        <f t="array" ref="C18">IFERROR(INDEX(COA!$C$5:$C$59,MATCH(B18,COA!$B$5:$B$59,0)),"")</f>
        <v/>
      </c>
      <c r="D18" s="17"/>
      <c r="E18" s="17"/>
    </row>
    <row r="19" spans="2:5" ht="16" x14ac:dyDescent="0.2">
      <c r="B19" s="21"/>
      <c r="C19" s="21" t="str">
        <f t="array" ref="C19">IFERROR(INDEX(COA!$C$5:$C$59,MATCH(B19,COA!$B$5:$B$59,0)),"")</f>
        <v/>
      </c>
      <c r="D19" s="17"/>
      <c r="E19" s="17"/>
    </row>
    <row r="20" spans="2:5" ht="16" x14ac:dyDescent="0.2">
      <c r="B20" s="21"/>
      <c r="C20" s="21" t="str">
        <f t="array" ref="C20">IFERROR(INDEX(COA!$C$5:$C$59,MATCH(B20,COA!$B$5:$B$59,0)),"")</f>
        <v/>
      </c>
      <c r="D20" s="17"/>
      <c r="E20" s="17"/>
    </row>
    <row r="21" spans="2:5" ht="15.75" customHeight="1" x14ac:dyDescent="0.2">
      <c r="B21" s="21"/>
      <c r="C21" s="21" t="str">
        <f t="array" ref="C21">IFERROR(INDEX(COA!$C$5:$C$59,MATCH(B21,COA!$B$5:$B$59,0)),"")</f>
        <v/>
      </c>
      <c r="D21" s="17"/>
      <c r="E21" s="17"/>
    </row>
    <row r="22" spans="2:5" ht="15.75" customHeight="1" x14ac:dyDescent="0.2">
      <c r="B22" s="21"/>
      <c r="C22" s="21" t="str">
        <f t="array" ref="C22">IFERROR(INDEX(COA!$C$5:$C$59,MATCH(B22,COA!$B$5:$B$59,0)),"")</f>
        <v/>
      </c>
      <c r="D22" s="17"/>
      <c r="E22" s="17"/>
    </row>
    <row r="23" spans="2:5" ht="15.75" customHeight="1" x14ac:dyDescent="0.2">
      <c r="B23" s="21"/>
      <c r="C23" s="21" t="str">
        <f t="array" ref="C23">IFERROR(INDEX(COA!$C$5:$C$59,MATCH(B23,COA!$B$5:$B$59,0)),"")</f>
        <v/>
      </c>
      <c r="D23" s="17"/>
      <c r="E23" s="17"/>
    </row>
    <row r="24" spans="2:5" ht="15.75" customHeight="1" x14ac:dyDescent="0.2">
      <c r="B24" s="21"/>
      <c r="C24" s="21" t="str">
        <f t="array" ref="C24">IFERROR(INDEX(COA!$C$5:$C$59,MATCH(B24,COA!$B$5:$B$59,0)),"")</f>
        <v/>
      </c>
      <c r="D24" s="17"/>
      <c r="E24" s="17"/>
    </row>
    <row r="25" spans="2:5" ht="15.75" customHeight="1" x14ac:dyDescent="0.2">
      <c r="B25" s="7"/>
      <c r="C25" s="7" t="str">
        <f t="array" ref="C25">IFERROR(INDEX(COA!$C$5:$C$59,MATCH(B25,COA!$B$5:$B$59,0)),"")</f>
        <v/>
      </c>
    </row>
    <row r="26" spans="2:5" ht="15.75" customHeight="1" x14ac:dyDescent="0.2">
      <c r="B26" s="7"/>
      <c r="C26" s="7" t="str">
        <f t="array" ref="C26">IFERROR(INDEX(COA!$C$5:$C$59,MATCH(B26,COA!$B$5:$B$59,0)),"")</f>
        <v/>
      </c>
    </row>
    <row r="27" spans="2:5" ht="15.75" customHeight="1" x14ac:dyDescent="0.2">
      <c r="B27" s="7"/>
      <c r="C27" s="7" t="str">
        <f t="array" ref="C27">IFERROR(INDEX(COA!$C$5:$C$59,MATCH(B27,COA!$B$5:$B$59,0)),"")</f>
        <v/>
      </c>
    </row>
    <row r="28" spans="2:5" ht="15.75" customHeight="1" x14ac:dyDescent="0.2">
      <c r="B28" s="7"/>
      <c r="C28" s="7" t="str">
        <f t="array" ref="C28">IFERROR(INDEX(COA!$C$5:$C$59,MATCH(B28,COA!$B$5:$B$59,0)),"")</f>
        <v/>
      </c>
    </row>
    <row r="29" spans="2:5" ht="15.75" customHeight="1" x14ac:dyDescent="0.2">
      <c r="B29" s="7"/>
      <c r="C29" s="7" t="str">
        <f t="array" ref="C29">IFERROR(INDEX(COA!$C$5:$C$59,MATCH(B29,COA!$B$5:$B$59,0)),"")</f>
        <v/>
      </c>
    </row>
    <row r="30" spans="2:5" ht="15.75" customHeight="1" x14ac:dyDescent="0.2">
      <c r="B30" s="7"/>
      <c r="C30" s="7" t="str">
        <f t="array" ref="C30">IFERROR(INDEX(COA!$C$5:$C$59,MATCH(B30,COA!$B$5:$B$59,0)),"")</f>
        <v/>
      </c>
    </row>
    <row r="31" spans="2:5" ht="15.75" customHeight="1" x14ac:dyDescent="0.2">
      <c r="C31" s="7" t="str">
        <f t="array" ref="C31">IFERROR(INDEX(COA!$C$5:$C$59,MATCH(B31,COA!$B$5:$B$59,0)),"")</f>
        <v/>
      </c>
    </row>
    <row r="32" spans="2: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E2"/>
    <mergeCell ref="B3:E3"/>
    <mergeCell ref="B4:E4"/>
  </mergeCells>
  <dataValidations count="1">
    <dataValidation type="list" allowBlank="1" showErrorMessage="1" sqref="B8:B30" xr:uid="{00000000-0002-0000-0B00-000000000000}">
      <formula1>KODEAKUN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55" baseType="lpstr">
      <vt:lpstr>MENU</vt:lpstr>
      <vt:lpstr>COA</vt:lpstr>
      <vt:lpstr>CONTROL</vt:lpstr>
      <vt:lpstr>JURNAL</vt:lpstr>
      <vt:lpstr>BUKU BESAR</vt:lpstr>
      <vt:lpstr>NRL</vt:lpstr>
      <vt:lpstr>LR</vt:lpstr>
      <vt:lpstr>LPE</vt:lpstr>
      <vt:lpstr>NRC</vt:lpstr>
      <vt:lpstr>LAK</vt:lpstr>
      <vt:lpstr>JP</vt:lpstr>
      <vt:lpstr>NRC STLH PENUTUPAN</vt:lpstr>
      <vt:lpstr>Chart1</vt:lpstr>
      <vt:lpstr>AKTIVALAINNYA</vt:lpstr>
      <vt:lpstr>AKTIVALANCARLAINNYA</vt:lpstr>
      <vt:lpstr>AKTIVATETAP</vt:lpstr>
      <vt:lpstr>AKUNPIUTANG</vt:lpstr>
      <vt:lpstr>AKUNUTANG</vt:lpstr>
      <vt:lpstr>BEBAN</vt:lpstr>
      <vt:lpstr>BEBANLAINNYA</vt:lpstr>
      <vt:lpstr>COA_DEBET</vt:lpstr>
      <vt:lpstr>COA_KREDIT</vt:lpstr>
      <vt:lpstr>DEPRESIASIDANAMORTISASI</vt:lpstr>
      <vt:lpstr>EKUITAS</vt:lpstr>
      <vt:lpstr>JU_BB</vt:lpstr>
      <vt:lpstr>JU_Debet</vt:lpstr>
      <vt:lpstr>JU_Keterangan</vt:lpstr>
      <vt:lpstr>JU_Kodeakun</vt:lpstr>
      <vt:lpstr>JU_Kredit</vt:lpstr>
      <vt:lpstr>JU_Namaakun</vt:lpstr>
      <vt:lpstr>JU_REF</vt:lpstr>
      <vt:lpstr>JU_Tanggal</vt:lpstr>
      <vt:lpstr>KASDANBANK</vt:lpstr>
      <vt:lpstr>KEWAJIBANJANGKAPANJANG</vt:lpstr>
      <vt:lpstr>KEWAJIBANLANCARLAINNYA</vt:lpstr>
      <vt:lpstr>KODEAKUN</vt:lpstr>
      <vt:lpstr>LRSLDO</vt:lpstr>
      <vt:lpstr>LRTYPE</vt:lpstr>
      <vt:lpstr>Nama_Akun</vt:lpstr>
      <vt:lpstr>NRC_TYPE</vt:lpstr>
      <vt:lpstr>NRCL</vt:lpstr>
      <vt:lpstr>NRCLDB</vt:lpstr>
      <vt:lpstr>NRCLDB2</vt:lpstr>
      <vt:lpstr>NRCLKODE</vt:lpstr>
      <vt:lpstr>NRCLKR</vt:lpstr>
      <vt:lpstr>NRCLKR2</vt:lpstr>
      <vt:lpstr>NRCLSN</vt:lpstr>
      <vt:lpstr>NRCSALDO</vt:lpstr>
      <vt:lpstr>PEMBELIAN</vt:lpstr>
      <vt:lpstr>PENDAPATAN</vt:lpstr>
      <vt:lpstr>PENDAPATANLAINNYA</vt:lpstr>
      <vt:lpstr>PERSEDIAAN</vt:lpstr>
      <vt:lpstr>Posisi</vt:lpstr>
      <vt:lpstr>SaldoNormal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2026-07-02T14:00:05Z</dcterms:modified>
</cp:coreProperties>
</file>